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2\"/>
    </mc:Choice>
  </mc:AlternateContent>
  <xr:revisionPtr revIDLastSave="0" documentId="13_ncr:1_{A81D5682-A153-47BF-9BB4-2BD3B97FAAA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Inventory" sheetId="1" r:id="rId1"/>
    <sheet name="For Printing" sheetId="2" r:id="rId2"/>
    <sheet name="Check Digit" sheetId="4" state="veryHidden" r:id="rId3"/>
  </sheets>
  <definedNames>
    <definedName name="ExcelMajorVersion">'Check Digit'!$I$27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5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G1" i="1" s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4" i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5" i="2"/>
  <c r="A25" i="2"/>
  <c r="A26" i="2"/>
  <c r="A27" i="2"/>
  <c r="A28" i="2"/>
  <c r="A29" i="2"/>
  <c r="A30" i="2"/>
  <c r="A31" i="2"/>
  <c r="A32" i="2"/>
  <c r="A33" i="2"/>
  <c r="A34" i="2"/>
  <c r="A35" i="2"/>
  <c r="A36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5" i="2"/>
  <c r="J1" i="1"/>
  <c r="I25" i="4" l="1"/>
  <c r="I26" i="4" l="1"/>
  <c r="I27" i="4" s="1"/>
  <c r="C30" i="4" l="1"/>
  <c r="D30" i="4"/>
  <c r="E30" i="4"/>
  <c r="F30" i="4"/>
  <c r="B30" i="4"/>
  <c r="C28" i="4" l="1"/>
  <c r="C25" i="4" s="1"/>
  <c r="D28" i="4"/>
  <c r="D25" i="4" s="1"/>
  <c r="E28" i="4"/>
  <c r="E25" i="4" s="1"/>
  <c r="F28" i="4"/>
  <c r="F25" i="4" s="1"/>
  <c r="B28" i="4"/>
  <c r="B25" i="4" s="1"/>
  <c r="B23" i="4" l="1"/>
  <c r="E23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F23" i="4" s="1"/>
  <c r="D8" i="4"/>
  <c r="C8" i="4"/>
  <c r="D23" i="4" s="1"/>
  <c r="B8" i="4"/>
  <c r="C23" i="4" s="1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H5" i="2" l="1" a="1"/>
  <c r="H8" i="2" s="1"/>
  <c r="H6" i="2" l="1"/>
  <c r="H5" i="2"/>
  <c r="H9" i="2"/>
  <c r="H7" i="2"/>
</calcChain>
</file>

<file path=xl/sharedStrings.xml><?xml version="1.0" encoding="utf-8"?>
<sst xmlns="http://schemas.openxmlformats.org/spreadsheetml/2006/main" count="204" uniqueCount="122">
  <si>
    <t>Part Description</t>
  </si>
  <si>
    <t>Material</t>
  </si>
  <si>
    <t>Distributor Name</t>
  </si>
  <si>
    <t>Unit Price</t>
  </si>
  <si>
    <t>Units in Stock</t>
  </si>
  <si>
    <t>Solar Glass (Low Iron Tempered), 34" x 96"</t>
  </si>
  <si>
    <t>Glass</t>
  </si>
  <si>
    <t>Aluminum 6061-T6 Bare Sheet, PVC 1 side, 0.032" thick, 36" x 48"</t>
  </si>
  <si>
    <t>Aluminum</t>
  </si>
  <si>
    <t>LEXAN Polycarbonate Sheet, 72" x 36"</t>
  </si>
  <si>
    <t>Polycarbonate</t>
  </si>
  <si>
    <t>Rubber</t>
  </si>
  <si>
    <t>Silicon</t>
  </si>
  <si>
    <t>Plastic</t>
  </si>
  <si>
    <t>Mini Adjustable Float Valve, 1/4" ID</t>
  </si>
  <si>
    <t>FreshWaterSystems.com</t>
  </si>
  <si>
    <t>Closed Cell Foam, 1.7 Lb Density, 1" Thick, 108" x 24"</t>
  </si>
  <si>
    <t>Polyethylene</t>
  </si>
  <si>
    <t>Draw Latches, 1 31/64", Zinc-Plated</t>
  </si>
  <si>
    <t>Steel</t>
  </si>
  <si>
    <t>Salt</t>
  </si>
  <si>
    <t>Aquarium Specialty</t>
  </si>
  <si>
    <t>Cap Screws, 1/4"-20, 3/4" Length, Pack of 10 Stainless</t>
  </si>
  <si>
    <t>Cap Screws, 1/4"-20, 2 3/4" Length, Pack of 5</t>
  </si>
  <si>
    <t>Cap Screws, M12, 20 mm Length, Pack of 5 Stainless</t>
  </si>
  <si>
    <t>Garlock Sealing Technologies</t>
  </si>
  <si>
    <t>Paint</t>
  </si>
  <si>
    <t>OSB</t>
  </si>
  <si>
    <t>PE</t>
  </si>
  <si>
    <t>Acrylic</t>
  </si>
  <si>
    <t xml:space="preserve">Rochester </t>
  </si>
  <si>
    <t>Copper</t>
  </si>
  <si>
    <t>PVC</t>
  </si>
  <si>
    <t>Housing Case, 0.024" x 36" x 48" Sheet</t>
  </si>
  <si>
    <t>Stainless Steel</t>
  </si>
  <si>
    <t>Collector Back Insulation, 2" x 48", 10 Feet Vinyl Faced Sheet</t>
  </si>
  <si>
    <t>Fiberglass</t>
  </si>
  <si>
    <t>Receiver Tube, 1/4" OD</t>
  </si>
  <si>
    <t>Absorber Fins, 0.04" x 36" x 24" Sheet</t>
  </si>
  <si>
    <t>Pipe Insulation, 1" ID, 1" Thick, 3 Feet sections</t>
  </si>
  <si>
    <t>Foam</t>
  </si>
  <si>
    <t>Pipe Insulation, 1" ID, 1" thick, Bend</t>
  </si>
  <si>
    <t>Part Code</t>
  </si>
  <si>
    <t>Material Code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</si>
  <si>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</si>
  <si>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</si>
  <si>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</si>
  <si>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</si>
  <si>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</si>
  <si>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</si>
  <si>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</si>
  <si>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</si>
  <si>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</si>
  <si>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</si>
  <si>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</si>
  <si>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</si>
  <si>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</si>
  <si>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</si>
  <si>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</si>
  <si>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</si>
  <si>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</si>
  <si>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</si>
  <si>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Red SBR Rubber Sheet (Custom Cut Gasket), 1/16" thick SBR</t>
  </si>
  <si>
    <t>Rust-Oleum, Stops Rust 12 oz. Protective Enamel Spray Paint</t>
  </si>
  <si>
    <t>Part Number</t>
  </si>
  <si>
    <t>Distributor Code</t>
  </si>
  <si>
    <t>Dynamics LTD</t>
  </si>
  <si>
    <t>Metals Online</t>
  </si>
  <si>
    <t>Penshurst Supplies</t>
  </si>
  <si>
    <t>Foam Factory</t>
  </si>
  <si>
    <t>Fischer Klein Industries</t>
  </si>
  <si>
    <t>Harrison Online Depot</t>
  </si>
  <si>
    <t xml:space="preserve">Washer, (Fluorosilicone) 5/32" </t>
  </si>
  <si>
    <t>Sealant/Caulking, 2.8oz tube</t>
  </si>
  <si>
    <t>Aluminum 6061-T6, Bare Extruded Angle, 1" x 1" x 0.125", 24" long</t>
  </si>
  <si>
    <t>Quick-Disconnect Tube Couplings, Thick</t>
  </si>
  <si>
    <t>Tropic Marin Sea Salt, 50 Gallon Mix</t>
  </si>
  <si>
    <t xml:space="preserve">Containment Unit, 5-Gallon </t>
  </si>
  <si>
    <t>Backboard, reinforced</t>
  </si>
  <si>
    <t>Foam Board Insulation LD, 2'x3'</t>
  </si>
  <si>
    <t>Brackets, pair</t>
  </si>
  <si>
    <t>Reflective Trough, large</t>
  </si>
  <si>
    <t>Receiver Pipe, 6"</t>
  </si>
  <si>
    <t>PVC Pipe, 10'</t>
  </si>
  <si>
    <t>PVC Fittings, set</t>
  </si>
  <si>
    <t>Pipe Insulation LD, PE</t>
  </si>
  <si>
    <t>Date of Last Order</t>
  </si>
  <si>
    <t>Days Since Last Order</t>
  </si>
  <si>
    <t>Today's Date:</t>
  </si>
  <si>
    <t>Check Digit:</t>
  </si>
  <si>
    <t>Distributor Address</t>
  </si>
  <si>
    <t>310 Wattle StUltimo, 2007, NSW</t>
  </si>
  <si>
    <t>222 Barkly StSt Kilda, 3182, VIC</t>
  </si>
  <si>
    <t>359 Crown StreetSurry Hills, 2010, NSW</t>
  </si>
  <si>
    <t>501 George StSydney, 2000, NSW</t>
  </si>
  <si>
    <t>506 Swan StreetRichmond, 3121, VIC</t>
  </si>
  <si>
    <t>2/797 Botany RdRosebery, 2018, NSW</t>
  </si>
  <si>
    <t>180 High StreetWindsor, 3181, VIC</t>
  </si>
  <si>
    <t>163 Concord RoadNorth Strathfield, 2135, NSW</t>
  </si>
  <si>
    <t>188 Pitt StreetSydney, 2000, NSW</t>
  </si>
  <si>
    <t>24 Addison RdMarrickville, 2204, NSW</t>
  </si>
  <si>
    <t>Shipped From</t>
  </si>
  <si>
    <t>Inventory Item Labels</t>
  </si>
  <si>
    <t>Check Digits</t>
  </si>
  <si>
    <t>Wrong 1</t>
  </si>
  <si>
    <t>Wrong 2</t>
  </si>
  <si>
    <t>Wrong 3</t>
  </si>
  <si>
    <t>Right</t>
  </si>
  <si>
    <t>Q3</t>
  </si>
  <si>
    <t>Q4</t>
  </si>
  <si>
    <t>Q6</t>
  </si>
  <si>
    <t>Inventory Items</t>
  </si>
  <si>
    <t>Q8</t>
  </si>
  <si>
    <t>Q10</t>
  </si>
  <si>
    <t>Formula pre-2013</t>
  </si>
  <si>
    <t>Formula post-2013</t>
  </si>
  <si>
    <t>Formula combined</t>
  </si>
  <si>
    <t>Output</t>
  </si>
  <si>
    <t>I don't understand this formula, so I don't trust it. I got it off Stack Overflow.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</si>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</sst>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3" fillId="0" borderId="1" xfId="2"/>
    <xf numFmtId="0" fontId="2" fillId="0" borderId="0" xfId="1"/>
    <xf numFmtId="49" fontId="0" fillId="0" borderId="0" xfId="0" applyNumberFormat="1"/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Fill="1"/>
    <xf numFmtId="14" fontId="0" fillId="0" borderId="0" xfId="0" applyNumberFormat="1"/>
    <xf numFmtId="0" fontId="4" fillId="4" borderId="3" xfId="3" applyFont="1" applyFill="1" applyBorder="1"/>
    <xf numFmtId="14" fontId="0" fillId="0" borderId="2" xfId="0" applyNumberFormat="1" applyBorder="1"/>
    <xf numFmtId="0" fontId="4" fillId="4" borderId="2" xfId="3" applyNumberFormat="1" applyFont="1" applyFill="1" applyBorder="1"/>
    <xf numFmtId="0" fontId="0" fillId="0" borderId="0" xfId="0" applyAlignment="1">
      <alignment horizontal="center"/>
    </xf>
    <xf numFmtId="0" fontId="1" fillId="3" borderId="0" xfId="4" applyAlignment="1">
      <alignment horizontal="center"/>
    </xf>
    <xf numFmtId="0" fontId="0" fillId="5" borderId="0" xfId="0" applyFill="1"/>
    <xf numFmtId="0" fontId="1" fillId="5" borderId="0" xfId="0" applyFont="1" applyFill="1"/>
    <xf numFmtId="0" fontId="5" fillId="0" borderId="0" xfId="1" applyFont="1"/>
    <xf numFmtId="0" fontId="1" fillId="3" borderId="1" xfId="4" applyBorder="1" applyAlignment="1">
      <alignment horizontal="center"/>
    </xf>
    <xf numFmtId="2" fontId="0" fillId="0" borderId="0" xfId="0" applyNumberFormat="1"/>
  </cellXfs>
  <cellStyles count="6">
    <cellStyle name="20% - Accent3" xfId="4" builtinId="38"/>
    <cellStyle name="40% - Accent1" xfId="3" builtinId="31"/>
    <cellStyle name="Comma 2" xfId="5" xr:uid="{00000000-0005-0000-0000-000002000000}"/>
    <cellStyle name="Heading 3" xfId="2" builtinId="18"/>
    <cellStyle name="Normal" xfId="0" builtinId="0"/>
    <cellStyle name="Title" xfId="1" builtinId="15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5"/>
  <sheetViews>
    <sheetView topLeftCell="E1" workbookViewId="0">
      <selection activeCell="J4" sqref="J4:J35"/>
    </sheetView>
  </sheetViews>
  <sheetFormatPr defaultRowHeight="14.4" x14ac:dyDescent="0.3"/>
  <cols>
    <col min="1" max="1" width="11.33203125" style="6" customWidth="1"/>
    <col min="2" max="2" width="38.77734375" customWidth="1"/>
    <col min="3" max="3" width="12.109375" bestFit="1" customWidth="1"/>
    <col min="4" max="4" width="12.109375" customWidth="1"/>
    <col min="5" max="5" width="23.77734375" bestFit="1" customWidth="1"/>
    <col min="6" max="6" width="31.33203125" customWidth="1"/>
    <col min="7" max="7" width="10.44140625" bestFit="1" customWidth="1"/>
    <col min="8" max="8" width="11.44140625" bestFit="1" customWidth="1"/>
    <col min="9" max="9" width="15.44140625" bestFit="1" customWidth="1"/>
    <col min="10" max="10" width="20.21875" customWidth="1"/>
  </cols>
  <sheetData>
    <row r="1" spans="1:11" ht="28.65" customHeight="1" x14ac:dyDescent="0.45">
      <c r="A1" s="17" t="s">
        <v>111</v>
      </c>
      <c r="F1" s="10" t="s">
        <v>89</v>
      </c>
      <c r="G1" s="12">
        <f ca="1">IFERROR(ROUND(J18,0)-(TODAY()-42947),"")</f>
        <v>17</v>
      </c>
      <c r="I1" s="10" t="s">
        <v>88</v>
      </c>
      <c r="J1" s="11">
        <f ca="1">TODAY()</f>
        <v>46085</v>
      </c>
    </row>
    <row r="3" spans="1:11" ht="15" thickBot="1" x14ac:dyDescent="0.35">
      <c r="A3" s="7" t="s">
        <v>64</v>
      </c>
      <c r="B3" s="3" t="s">
        <v>0</v>
      </c>
      <c r="C3" s="3" t="s">
        <v>1</v>
      </c>
      <c r="D3" s="3" t="s">
        <v>43</v>
      </c>
      <c r="E3" s="3" t="s">
        <v>2</v>
      </c>
      <c r="F3" s="3" t="s">
        <v>90</v>
      </c>
      <c r="G3" s="3" t="s">
        <v>3</v>
      </c>
      <c r="H3" s="3" t="s">
        <v>4</v>
      </c>
      <c r="I3" s="8" t="s">
        <v>86</v>
      </c>
      <c r="J3" s="8" t="s">
        <v>87</v>
      </c>
    </row>
    <row r="4" spans="1:11" x14ac:dyDescent="0.3">
      <c r="A4" s="6">
        <v>2425</v>
      </c>
      <c r="B4" s="1" t="s">
        <v>5</v>
      </c>
      <c r="C4" s="1" t="s">
        <v>6</v>
      </c>
      <c r="D4" s="1" t="s">
        <v>49</v>
      </c>
      <c r="E4" t="s">
        <v>66</v>
      </c>
      <c r="F4" t="s">
        <v>91</v>
      </c>
      <c r="G4" s="2">
        <v>81</v>
      </c>
      <c r="H4" s="1">
        <v>41</v>
      </c>
      <c r="I4" s="9">
        <v>42913</v>
      </c>
      <c r="J4" s="19">
        <f ca="1">TODAY()-I4</f>
        <v>3172</v>
      </c>
      <c r="K4" s="5"/>
    </row>
    <row r="5" spans="1:11" x14ac:dyDescent="0.3">
      <c r="A5" s="6">
        <v>2213</v>
      </c>
      <c r="B5" s="1" t="s">
        <v>7</v>
      </c>
      <c r="C5" s="1" t="s">
        <v>8</v>
      </c>
      <c r="D5" s="1" t="s">
        <v>44</v>
      </c>
      <c r="E5" t="s">
        <v>67</v>
      </c>
      <c r="F5" t="s">
        <v>92</v>
      </c>
      <c r="G5" s="2">
        <v>32.770000000000003</v>
      </c>
      <c r="H5" s="1">
        <v>33</v>
      </c>
      <c r="I5" s="9">
        <v>42936</v>
      </c>
      <c r="J5" s="19">
        <f t="shared" ref="J5:J35" ca="1" si="0">TODAY()-I5</f>
        <v>3149</v>
      </c>
      <c r="K5" s="5"/>
    </row>
    <row r="6" spans="1:11" x14ac:dyDescent="0.3">
      <c r="A6" s="6">
        <v>2381</v>
      </c>
      <c r="B6" s="1" t="s">
        <v>9</v>
      </c>
      <c r="C6" s="1" t="s">
        <v>10</v>
      </c>
      <c r="D6" s="1" t="s">
        <v>54</v>
      </c>
      <c r="E6" t="s">
        <v>71</v>
      </c>
      <c r="F6" t="s">
        <v>93</v>
      </c>
      <c r="G6" s="2">
        <v>49.97</v>
      </c>
      <c r="H6" s="1">
        <v>23</v>
      </c>
      <c r="I6" s="9">
        <v>42931</v>
      </c>
      <c r="J6" s="19">
        <f t="shared" ca="1" si="0"/>
        <v>3154</v>
      </c>
    </row>
    <row r="7" spans="1:11" x14ac:dyDescent="0.3">
      <c r="A7" s="6">
        <v>2097</v>
      </c>
      <c r="B7" t="s">
        <v>72</v>
      </c>
      <c r="C7" s="1" t="s">
        <v>11</v>
      </c>
      <c r="D7" s="1" t="s">
        <v>57</v>
      </c>
      <c r="E7" t="s">
        <v>68</v>
      </c>
      <c r="F7" t="s">
        <v>94</v>
      </c>
      <c r="G7" s="2">
        <v>7.6</v>
      </c>
      <c r="H7" s="1">
        <v>32</v>
      </c>
      <c r="I7" s="9">
        <v>42921</v>
      </c>
      <c r="J7" s="19">
        <f t="shared" ca="1" si="0"/>
        <v>3164</v>
      </c>
      <c r="K7" s="5"/>
    </row>
    <row r="8" spans="1:11" x14ac:dyDescent="0.3">
      <c r="A8" s="6">
        <v>2073</v>
      </c>
      <c r="B8" t="s">
        <v>73</v>
      </c>
      <c r="C8" s="1" t="s">
        <v>12</v>
      </c>
      <c r="D8" s="1" t="s">
        <v>59</v>
      </c>
      <c r="E8" s="1" t="s">
        <v>68</v>
      </c>
      <c r="F8" t="s">
        <v>94</v>
      </c>
      <c r="G8" s="2">
        <v>4.29</v>
      </c>
      <c r="H8" s="1">
        <v>13</v>
      </c>
      <c r="I8" s="9">
        <v>42904</v>
      </c>
      <c r="J8" s="19">
        <f t="shared" ca="1" si="0"/>
        <v>3181</v>
      </c>
      <c r="K8" s="5"/>
    </row>
    <row r="9" spans="1:11" x14ac:dyDescent="0.3">
      <c r="A9" s="6">
        <v>2290</v>
      </c>
      <c r="B9" t="s">
        <v>74</v>
      </c>
      <c r="C9" t="s">
        <v>8</v>
      </c>
      <c r="D9" s="1" t="s">
        <v>44</v>
      </c>
      <c r="E9" t="s">
        <v>67</v>
      </c>
      <c r="F9" t="s">
        <v>92</v>
      </c>
      <c r="G9" s="2">
        <v>2.63</v>
      </c>
      <c r="H9" s="1">
        <v>6</v>
      </c>
      <c r="I9" s="9">
        <v>42946</v>
      </c>
      <c r="J9" s="19">
        <f t="shared" ca="1" si="0"/>
        <v>3139</v>
      </c>
      <c r="K9" s="5"/>
    </row>
    <row r="10" spans="1:11" x14ac:dyDescent="0.3">
      <c r="A10" s="6">
        <v>2850</v>
      </c>
      <c r="B10" t="s">
        <v>75</v>
      </c>
      <c r="C10" s="1" t="s">
        <v>13</v>
      </c>
      <c r="D10" s="1" t="s">
        <v>53</v>
      </c>
      <c r="E10" s="1" t="s">
        <v>68</v>
      </c>
      <c r="F10" t="s">
        <v>94</v>
      </c>
      <c r="G10" s="2">
        <v>14.86</v>
      </c>
      <c r="H10" s="1">
        <v>31</v>
      </c>
      <c r="I10" s="9">
        <v>42939</v>
      </c>
      <c r="J10" s="19">
        <f t="shared" ca="1" si="0"/>
        <v>3146</v>
      </c>
      <c r="K10" s="5"/>
    </row>
    <row r="11" spans="1:11" x14ac:dyDescent="0.3">
      <c r="A11" s="6">
        <v>2369</v>
      </c>
      <c r="B11" s="1" t="s">
        <v>14</v>
      </c>
      <c r="C11" s="1" t="s">
        <v>13</v>
      </c>
      <c r="D11" s="1" t="s">
        <v>53</v>
      </c>
      <c r="E11" s="1" t="s">
        <v>15</v>
      </c>
      <c r="F11" t="s">
        <v>95</v>
      </c>
      <c r="G11" s="2">
        <v>10.98</v>
      </c>
      <c r="H11" s="1">
        <v>0</v>
      </c>
      <c r="I11" s="9">
        <v>42938</v>
      </c>
      <c r="J11" s="19">
        <f t="shared" ca="1" si="0"/>
        <v>3147</v>
      </c>
      <c r="K11" s="5"/>
    </row>
    <row r="12" spans="1:11" x14ac:dyDescent="0.3">
      <c r="A12" s="6">
        <v>2082</v>
      </c>
      <c r="B12" s="1" t="s">
        <v>16</v>
      </c>
      <c r="C12" s="1" t="s">
        <v>17</v>
      </c>
      <c r="D12" s="1" t="s">
        <v>55</v>
      </c>
      <c r="E12" t="s">
        <v>69</v>
      </c>
      <c r="F12" t="s">
        <v>96</v>
      </c>
      <c r="G12" s="2">
        <v>32.99</v>
      </c>
      <c r="H12" s="1">
        <v>23</v>
      </c>
      <c r="I12" s="9">
        <v>42902</v>
      </c>
      <c r="J12" s="19">
        <f t="shared" ca="1" si="0"/>
        <v>3183</v>
      </c>
      <c r="K12" s="5"/>
    </row>
    <row r="13" spans="1:11" x14ac:dyDescent="0.3">
      <c r="A13" s="6">
        <v>2485</v>
      </c>
      <c r="B13" s="1" t="s">
        <v>18</v>
      </c>
      <c r="C13" s="1" t="s">
        <v>19</v>
      </c>
      <c r="D13" s="1" t="s">
        <v>61</v>
      </c>
      <c r="E13" s="1" t="s">
        <v>68</v>
      </c>
      <c r="F13" t="s">
        <v>94</v>
      </c>
      <c r="G13" s="2">
        <v>5.73</v>
      </c>
      <c r="H13" s="1">
        <v>28</v>
      </c>
      <c r="I13" s="9">
        <v>42918</v>
      </c>
      <c r="J13" s="19">
        <f t="shared" ca="1" si="0"/>
        <v>3167</v>
      </c>
      <c r="K13" s="5"/>
    </row>
    <row r="14" spans="1:11" x14ac:dyDescent="0.3">
      <c r="A14" s="6">
        <v>2900</v>
      </c>
      <c r="B14" t="s">
        <v>76</v>
      </c>
      <c r="C14" s="1" t="s">
        <v>20</v>
      </c>
      <c r="D14" s="1" t="s">
        <v>58</v>
      </c>
      <c r="E14" s="1" t="s">
        <v>21</v>
      </c>
      <c r="F14" t="s">
        <v>97</v>
      </c>
      <c r="G14" s="2">
        <v>18.899999999999999</v>
      </c>
      <c r="H14" s="1">
        <v>38</v>
      </c>
      <c r="I14" s="9">
        <v>42923</v>
      </c>
      <c r="J14" s="19">
        <f t="shared" ca="1" si="0"/>
        <v>3162</v>
      </c>
      <c r="K14" s="5"/>
    </row>
    <row r="15" spans="1:11" x14ac:dyDescent="0.3">
      <c r="A15" s="6">
        <v>2255</v>
      </c>
      <c r="B15" s="1" t="s">
        <v>22</v>
      </c>
      <c r="C15" s="1" t="s">
        <v>19</v>
      </c>
      <c r="D15" s="1" t="s">
        <v>61</v>
      </c>
      <c r="E15" s="1" t="s">
        <v>68</v>
      </c>
      <c r="F15" t="s">
        <v>94</v>
      </c>
      <c r="G15" s="2">
        <v>6.74</v>
      </c>
      <c r="H15" s="1">
        <v>27</v>
      </c>
      <c r="I15" s="9">
        <v>42906</v>
      </c>
      <c r="J15" s="19">
        <f t="shared" ca="1" si="0"/>
        <v>3179</v>
      </c>
      <c r="K15" s="5"/>
    </row>
    <row r="16" spans="1:11" x14ac:dyDescent="0.3">
      <c r="A16" s="6">
        <v>2568</v>
      </c>
      <c r="B16" s="1" t="s">
        <v>23</v>
      </c>
      <c r="C16" s="1" t="s">
        <v>19</v>
      </c>
      <c r="D16" s="1" t="s">
        <v>61</v>
      </c>
      <c r="E16" s="1" t="s">
        <v>68</v>
      </c>
      <c r="F16" t="s">
        <v>94</v>
      </c>
      <c r="G16" s="2">
        <v>4.51</v>
      </c>
      <c r="H16" s="1">
        <v>15</v>
      </c>
      <c r="I16" s="9">
        <v>42927</v>
      </c>
      <c r="J16" s="19">
        <f t="shared" ca="1" si="0"/>
        <v>3158</v>
      </c>
      <c r="K16" s="5"/>
    </row>
    <row r="17" spans="1:11" x14ac:dyDescent="0.3">
      <c r="A17" s="6">
        <v>2676</v>
      </c>
      <c r="B17" s="1" t="s">
        <v>24</v>
      </c>
      <c r="C17" s="1" t="s">
        <v>19</v>
      </c>
      <c r="D17" s="1" t="s">
        <v>61</v>
      </c>
      <c r="E17" s="1" t="s">
        <v>68</v>
      </c>
      <c r="F17" t="s">
        <v>94</v>
      </c>
      <c r="G17" s="2">
        <v>8.6</v>
      </c>
      <c r="H17" s="1">
        <v>19</v>
      </c>
      <c r="I17" s="9">
        <v>42924</v>
      </c>
      <c r="J17" s="19">
        <f t="shared" ca="1" si="0"/>
        <v>3161</v>
      </c>
      <c r="K17" s="5"/>
    </row>
    <row r="18" spans="1:11" x14ac:dyDescent="0.3">
      <c r="A18" s="6">
        <v>2658</v>
      </c>
      <c r="B18" t="s">
        <v>62</v>
      </c>
      <c r="C18" s="1" t="s">
        <v>11</v>
      </c>
      <c r="D18" s="1" t="s">
        <v>57</v>
      </c>
      <c r="E18" s="1" t="s">
        <v>25</v>
      </c>
      <c r="F18" t="s">
        <v>98</v>
      </c>
      <c r="G18" s="2">
        <v>32.799999999999997</v>
      </c>
      <c r="H18" s="1">
        <v>39</v>
      </c>
      <c r="I18" s="9">
        <v>42930</v>
      </c>
      <c r="J18" s="19">
        <f t="shared" ca="1" si="0"/>
        <v>3155</v>
      </c>
      <c r="K18" s="5"/>
    </row>
    <row r="19" spans="1:11" x14ac:dyDescent="0.3">
      <c r="A19" s="6">
        <v>2350</v>
      </c>
      <c r="B19" t="s">
        <v>63</v>
      </c>
      <c r="C19" s="1" t="s">
        <v>26</v>
      </c>
      <c r="D19" s="1" t="s">
        <v>51</v>
      </c>
      <c r="E19" t="s">
        <v>71</v>
      </c>
      <c r="F19" t="s">
        <v>93</v>
      </c>
      <c r="G19" s="2">
        <v>4.67</v>
      </c>
      <c r="H19" s="1">
        <v>5</v>
      </c>
      <c r="I19" s="9">
        <v>42907</v>
      </c>
      <c r="J19" s="19">
        <f t="shared" ca="1" si="0"/>
        <v>3178</v>
      </c>
      <c r="K19" s="5"/>
    </row>
    <row r="20" spans="1:11" x14ac:dyDescent="0.3">
      <c r="A20" s="6">
        <v>2252</v>
      </c>
      <c r="B20" t="s">
        <v>77</v>
      </c>
      <c r="C20" s="1" t="s">
        <v>13</v>
      </c>
      <c r="D20" s="1" t="s">
        <v>53</v>
      </c>
      <c r="E20" t="s">
        <v>70</v>
      </c>
      <c r="F20" t="s">
        <v>99</v>
      </c>
      <c r="G20" s="2">
        <v>2.54</v>
      </c>
      <c r="H20" s="1">
        <v>30</v>
      </c>
      <c r="I20" s="9">
        <v>42936</v>
      </c>
      <c r="J20" s="19">
        <f t="shared" ca="1" si="0"/>
        <v>3149</v>
      </c>
      <c r="K20" s="5"/>
    </row>
    <row r="21" spans="1:11" x14ac:dyDescent="0.3">
      <c r="A21" s="6">
        <v>2937</v>
      </c>
      <c r="B21" t="s">
        <v>78</v>
      </c>
      <c r="C21" s="1" t="s">
        <v>27</v>
      </c>
      <c r="D21" s="1" t="s">
        <v>50</v>
      </c>
      <c r="E21" s="1" t="s">
        <v>70</v>
      </c>
      <c r="F21" t="s">
        <v>99</v>
      </c>
      <c r="G21" s="2">
        <v>14.87</v>
      </c>
      <c r="H21" s="1">
        <v>39</v>
      </c>
      <c r="I21" s="9">
        <v>42932</v>
      </c>
      <c r="J21" s="19">
        <f t="shared" ca="1" si="0"/>
        <v>3153</v>
      </c>
      <c r="K21" s="5"/>
    </row>
    <row r="22" spans="1:11" x14ac:dyDescent="0.3">
      <c r="A22" s="6">
        <v>2553</v>
      </c>
      <c r="B22" t="s">
        <v>79</v>
      </c>
      <c r="C22" s="1" t="s">
        <v>28</v>
      </c>
      <c r="D22" s="1" t="s">
        <v>52</v>
      </c>
      <c r="E22" s="1" t="s">
        <v>70</v>
      </c>
      <c r="F22" t="s">
        <v>99</v>
      </c>
      <c r="G22" s="2">
        <v>11.41</v>
      </c>
      <c r="H22" s="1">
        <v>8</v>
      </c>
      <c r="I22" s="9">
        <v>42932</v>
      </c>
      <c r="J22" s="19">
        <f t="shared" ca="1" si="0"/>
        <v>3153</v>
      </c>
      <c r="K22" s="5"/>
    </row>
    <row r="23" spans="1:11" x14ac:dyDescent="0.3">
      <c r="A23" s="6">
        <v>2236</v>
      </c>
      <c r="B23" t="s">
        <v>80</v>
      </c>
      <c r="C23" s="1" t="s">
        <v>29</v>
      </c>
      <c r="D23" s="1" t="s">
        <v>45</v>
      </c>
      <c r="E23" s="1" t="s">
        <v>30</v>
      </c>
      <c r="F23" t="s">
        <v>100</v>
      </c>
      <c r="G23" s="2">
        <v>25</v>
      </c>
      <c r="H23" s="1">
        <v>19</v>
      </c>
      <c r="I23" s="9">
        <v>42908</v>
      </c>
      <c r="J23" s="19">
        <f t="shared" ca="1" si="0"/>
        <v>3177</v>
      </c>
    </row>
    <row r="24" spans="1:11" x14ac:dyDescent="0.3">
      <c r="A24" s="6">
        <v>2785</v>
      </c>
      <c r="B24" t="s">
        <v>81</v>
      </c>
      <c r="C24" s="1" t="s">
        <v>8</v>
      </c>
      <c r="D24" s="1" t="s">
        <v>44</v>
      </c>
      <c r="E24" s="1" t="s">
        <v>68</v>
      </c>
      <c r="F24" t="s">
        <v>94</v>
      </c>
      <c r="G24" s="2">
        <v>132.09</v>
      </c>
      <c r="H24" s="1">
        <v>59</v>
      </c>
      <c r="I24" s="9">
        <v>42917</v>
      </c>
      <c r="J24" s="19">
        <f t="shared" ca="1" si="0"/>
        <v>3168</v>
      </c>
    </row>
    <row r="25" spans="1:11" x14ac:dyDescent="0.3">
      <c r="A25" s="6">
        <v>2872</v>
      </c>
      <c r="B25" t="s">
        <v>82</v>
      </c>
      <c r="C25" s="1" t="s">
        <v>31</v>
      </c>
      <c r="D25" s="1" t="s">
        <v>46</v>
      </c>
      <c r="E25" s="1" t="s">
        <v>68</v>
      </c>
      <c r="F25" t="s">
        <v>94</v>
      </c>
      <c r="G25" s="2">
        <v>85</v>
      </c>
      <c r="H25" s="1">
        <v>3</v>
      </c>
      <c r="I25" s="9">
        <v>42926</v>
      </c>
      <c r="J25" s="19">
        <f t="shared" ca="1" si="0"/>
        <v>3159</v>
      </c>
    </row>
    <row r="26" spans="1:11" x14ac:dyDescent="0.3">
      <c r="A26" s="6">
        <v>2422</v>
      </c>
      <c r="B26" t="s">
        <v>83</v>
      </c>
      <c r="C26" s="1" t="s">
        <v>32</v>
      </c>
      <c r="D26" s="1" t="s">
        <v>56</v>
      </c>
      <c r="E26" s="1" t="s">
        <v>70</v>
      </c>
      <c r="F26" t="s">
        <v>99</v>
      </c>
      <c r="G26" s="2">
        <v>4.0999999999999996</v>
      </c>
      <c r="H26" s="1">
        <v>18</v>
      </c>
      <c r="I26" s="9">
        <v>42934</v>
      </c>
      <c r="J26" s="19">
        <f t="shared" ca="1" si="0"/>
        <v>3151</v>
      </c>
    </row>
    <row r="27" spans="1:11" x14ac:dyDescent="0.3">
      <c r="A27" s="6">
        <v>2224</v>
      </c>
      <c r="B27" t="s">
        <v>84</v>
      </c>
      <c r="C27" s="1" t="s">
        <v>32</v>
      </c>
      <c r="D27" s="1" t="s">
        <v>56</v>
      </c>
      <c r="E27" s="1" t="s">
        <v>70</v>
      </c>
      <c r="F27" t="s">
        <v>99</v>
      </c>
      <c r="G27" s="2">
        <v>10</v>
      </c>
      <c r="H27" s="1">
        <v>47</v>
      </c>
      <c r="I27" s="9">
        <v>42916</v>
      </c>
      <c r="J27" s="19">
        <f t="shared" ca="1" si="0"/>
        <v>3169</v>
      </c>
    </row>
    <row r="28" spans="1:11" x14ac:dyDescent="0.3">
      <c r="A28" s="6">
        <v>2907</v>
      </c>
      <c r="B28" t="s">
        <v>85</v>
      </c>
      <c r="C28" s="1" t="s">
        <v>28</v>
      </c>
      <c r="D28" s="1" t="s">
        <v>52</v>
      </c>
      <c r="E28" s="1" t="s">
        <v>70</v>
      </c>
      <c r="F28" t="s">
        <v>99</v>
      </c>
      <c r="G28" s="2">
        <v>1.26</v>
      </c>
      <c r="H28" s="1">
        <v>46</v>
      </c>
      <c r="I28" s="9">
        <v>42920</v>
      </c>
      <c r="J28" s="19">
        <f t="shared" ca="1" si="0"/>
        <v>3165</v>
      </c>
    </row>
    <row r="29" spans="1:11" x14ac:dyDescent="0.3">
      <c r="A29" s="6">
        <v>2933</v>
      </c>
      <c r="B29" s="1" t="s">
        <v>33</v>
      </c>
      <c r="C29" s="1" t="s">
        <v>34</v>
      </c>
      <c r="D29" s="1" t="s">
        <v>60</v>
      </c>
      <c r="E29" s="1" t="s">
        <v>68</v>
      </c>
      <c r="F29" t="s">
        <v>94</v>
      </c>
      <c r="G29" s="2">
        <v>56.95</v>
      </c>
      <c r="H29" s="1">
        <v>2</v>
      </c>
      <c r="I29" s="9">
        <v>42923</v>
      </c>
      <c r="J29" s="19">
        <f t="shared" ca="1" si="0"/>
        <v>3162</v>
      </c>
    </row>
    <row r="30" spans="1:11" x14ac:dyDescent="0.3">
      <c r="A30" s="6">
        <v>2133</v>
      </c>
      <c r="B30" s="1" t="s">
        <v>35</v>
      </c>
      <c r="C30" s="1" t="s">
        <v>36</v>
      </c>
      <c r="D30" s="1" t="s">
        <v>47</v>
      </c>
      <c r="E30" s="1" t="s">
        <v>68</v>
      </c>
      <c r="F30" t="s">
        <v>94</v>
      </c>
      <c r="G30" s="2">
        <v>39.99</v>
      </c>
      <c r="H30" s="1">
        <v>3</v>
      </c>
      <c r="I30" s="9">
        <v>42915</v>
      </c>
      <c r="J30" s="19">
        <f t="shared" ca="1" si="0"/>
        <v>3170</v>
      </c>
    </row>
    <row r="31" spans="1:11" x14ac:dyDescent="0.3">
      <c r="A31" s="6">
        <v>2675</v>
      </c>
      <c r="B31" s="1" t="s">
        <v>37</v>
      </c>
      <c r="C31" s="1" t="s">
        <v>31</v>
      </c>
      <c r="D31" s="1" t="s">
        <v>46</v>
      </c>
      <c r="E31" s="1" t="s">
        <v>68</v>
      </c>
      <c r="F31" t="s">
        <v>94</v>
      </c>
      <c r="G31" s="2">
        <v>17.079999999999998</v>
      </c>
      <c r="H31" s="1">
        <v>16</v>
      </c>
      <c r="I31" s="9">
        <v>42913</v>
      </c>
      <c r="J31" s="19">
        <f t="shared" ca="1" si="0"/>
        <v>3172</v>
      </c>
    </row>
    <row r="32" spans="1:11" x14ac:dyDescent="0.3">
      <c r="A32" s="6">
        <v>2932</v>
      </c>
      <c r="B32" s="1" t="s">
        <v>38</v>
      </c>
      <c r="C32" s="1" t="s">
        <v>8</v>
      </c>
      <c r="D32" s="1" t="s">
        <v>44</v>
      </c>
      <c r="E32" s="1" t="s">
        <v>68</v>
      </c>
      <c r="F32" t="s">
        <v>94</v>
      </c>
      <c r="G32" s="2">
        <v>24.86</v>
      </c>
      <c r="H32" s="1">
        <v>21</v>
      </c>
      <c r="I32" s="9">
        <v>42924</v>
      </c>
      <c r="J32" s="19">
        <f t="shared" ca="1" si="0"/>
        <v>3161</v>
      </c>
    </row>
    <row r="33" spans="1:10" x14ac:dyDescent="0.3">
      <c r="A33" s="6">
        <v>2452</v>
      </c>
      <c r="B33" s="1" t="s">
        <v>39</v>
      </c>
      <c r="C33" s="1" t="s">
        <v>40</v>
      </c>
      <c r="D33" s="1" t="s">
        <v>48</v>
      </c>
      <c r="E33" s="1" t="s">
        <v>68</v>
      </c>
      <c r="F33" t="s">
        <v>94</v>
      </c>
      <c r="G33" s="2">
        <v>10.57</v>
      </c>
      <c r="H33" s="1">
        <v>21</v>
      </c>
      <c r="I33" s="9">
        <v>42903</v>
      </c>
      <c r="J33" s="19">
        <f t="shared" ca="1" si="0"/>
        <v>3182</v>
      </c>
    </row>
    <row r="34" spans="1:10" x14ac:dyDescent="0.3">
      <c r="A34" s="6">
        <v>2035</v>
      </c>
      <c r="B34" s="1" t="s">
        <v>41</v>
      </c>
      <c r="C34" s="1" t="s">
        <v>40</v>
      </c>
      <c r="D34" s="1" t="s">
        <v>48</v>
      </c>
      <c r="E34" s="1" t="s">
        <v>68</v>
      </c>
      <c r="F34" t="s">
        <v>94</v>
      </c>
      <c r="G34" s="2">
        <v>6.45</v>
      </c>
      <c r="H34" s="1">
        <v>45</v>
      </c>
      <c r="I34" s="9">
        <v>42918</v>
      </c>
      <c r="J34" s="19">
        <f t="shared" ca="1" si="0"/>
        <v>3167</v>
      </c>
    </row>
    <row r="35" spans="1:10" x14ac:dyDescent="0.3">
      <c r="A35" s="6">
        <v>2288</v>
      </c>
      <c r="B35" t="s">
        <v>73</v>
      </c>
      <c r="C35" s="1" t="s">
        <v>12</v>
      </c>
      <c r="D35" s="1" t="s">
        <v>59</v>
      </c>
      <c r="E35" s="1" t="s">
        <v>68</v>
      </c>
      <c r="F35" t="s">
        <v>94</v>
      </c>
      <c r="G35" s="2">
        <v>4.29</v>
      </c>
      <c r="H35" s="1">
        <v>8</v>
      </c>
      <c r="I35" s="9">
        <v>42934</v>
      </c>
      <c r="J35" s="19">
        <f t="shared" ca="1" si="0"/>
        <v>3151</v>
      </c>
    </row>
  </sheetData>
  <sortState xmlns:xlrd2="http://schemas.microsoft.com/office/spreadsheetml/2017/richdata2" ref="J4:J22">
    <sortCondition ref="J4"/>
  </sortState>
  <conditionalFormatting sqref="J1">
    <cfRule type="expression" dxfId="4" priority="1">
      <formula>AND($J$1&lt;&gt;(TODAY()),$J$1&lt;&gt;"")</formula>
    </cfRule>
    <cfRule type="expression" dxfId="3" priority="2">
      <formula>AND(ExcelMajorVersion&gt;=15,$J$1=TODAY(),NOT(_xlfn.ISFORMULA($J$1)))</formula>
    </cfRule>
    <cfRule type="expression" dxfId="2" priority="4">
      <formula>AND(ExcelMajorVersion&gt;=15,_xlfn.ISFORMULA($J$1),$J$1=TODAY())</formula>
    </cfRule>
    <cfRule type="expression" dxfId="1" priority="5">
      <formula>AND(ExcelMajorVersion&lt;15,$J$1=TODAY())</formula>
    </cfRule>
  </conditionalFormatting>
  <pageMargins left="0.7" right="0.7" top="0.75" bottom="0.75" header="0.3" footer="0.3"/>
  <pageSetup paperSize="9" orientation="portrait" r:id="rId1"/>
  <ignoredErrors>
    <ignoredError sqref="D4:D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6"/>
  <sheetViews>
    <sheetView tabSelected="1" topLeftCell="C1" workbookViewId="0">
      <selection activeCell="E5" sqref="E5:E36"/>
    </sheetView>
  </sheetViews>
  <sheetFormatPr defaultRowHeight="14.4" x14ac:dyDescent="0.3"/>
  <cols>
    <col min="1" max="1" width="15" customWidth="1"/>
    <col min="2" max="2" width="14.77734375" customWidth="1"/>
    <col min="3" max="3" width="16.77734375" customWidth="1"/>
    <col min="4" max="4" width="37.21875" customWidth="1"/>
    <col min="5" max="5" width="14.44140625" customWidth="1"/>
    <col min="6" max="6" width="6.109375" customWidth="1"/>
    <col min="7" max="8" width="6.88671875" style="13" customWidth="1"/>
  </cols>
  <sheetData>
    <row r="1" spans="1:8" ht="26.7" customHeight="1" x14ac:dyDescent="0.45">
      <c r="A1" s="17" t="s">
        <v>102</v>
      </c>
    </row>
    <row r="4" spans="1:8" ht="15" thickBot="1" x14ac:dyDescent="0.35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  <c r="G4" s="18" t="s">
        <v>103</v>
      </c>
      <c r="H4" s="18"/>
    </row>
    <row r="5" spans="1:8" x14ac:dyDescent="0.3">
      <c r="A5" s="15" t="str">
        <f>_xlfn.CONCAT("SKU-", Inventory!D4, "-", Inventory!A4)</f>
        <v>SKU-07-2425</v>
      </c>
      <c r="B5" s="15" t="str">
        <f>UPPER(Inventory!C4)</f>
        <v>GLASS</v>
      </c>
      <c r="C5" s="15" t="str">
        <f>LOWER(LEFT(Inventory!E4, 5))</f>
        <v>dynam</v>
      </c>
      <c r="D5" s="16" t="str">
        <f>LEFT(Inventory!B4, FIND(",", Inventory!B4)-1)</f>
        <v>Solar Glass (Low Iron Tempered)</v>
      </c>
      <c r="E5" s="16" t="str">
        <f>MID(Inventory!F4, FIND(",", Inventory!F4)+2, 4)</f>
        <v>2007</v>
      </c>
      <c r="G5" s="14">
        <v>1</v>
      </c>
      <c r="H5" s="14">
        <f t="array" aca="1" ref="H5:H9" ca="1">TRANSPOSE('Check Digit'!B23:F23)</f>
        <v>1767</v>
      </c>
    </row>
    <row r="6" spans="1:8" x14ac:dyDescent="0.3">
      <c r="A6" s="15" t="str">
        <f>_xlfn.CONCAT("SKU-", Inventory!D5, "-", Inventory!A5)</f>
        <v>SKU-01-2213</v>
      </c>
      <c r="B6" s="15" t="str">
        <f>UPPER(Inventory!C5)</f>
        <v>ALUMINUM</v>
      </c>
      <c r="C6" s="15" t="str">
        <f>LOWER(LEFT(Inventory!E5, 5))</f>
        <v>metal</v>
      </c>
      <c r="D6" s="16" t="str">
        <f>LEFT(Inventory!B5, FIND(",", Inventory!B5)-1)</f>
        <v>Aluminum 6061-T6 Bare Sheet</v>
      </c>
      <c r="E6" s="16" t="str">
        <f>MID(Inventory!F5, FIND(",", Inventory!F5)+2, 4)</f>
        <v>3182</v>
      </c>
      <c r="G6" s="14">
        <v>2</v>
      </c>
      <c r="H6" s="14">
        <f ca="1"/>
        <v>5827</v>
      </c>
    </row>
    <row r="7" spans="1:8" x14ac:dyDescent="0.3">
      <c r="A7" s="15" t="str">
        <f>_xlfn.CONCAT("SKU-", Inventory!D6, "-", Inventory!A6)</f>
        <v>SKU-12-2381</v>
      </c>
      <c r="B7" s="15" t="str">
        <f>UPPER(Inventory!C6)</f>
        <v>POLYCARBONATE</v>
      </c>
      <c r="C7" s="15" t="str">
        <f>LOWER(LEFT(Inventory!E6, 5))</f>
        <v>harri</v>
      </c>
      <c r="D7" s="16" t="str">
        <f>LEFT(Inventory!B6, FIND(",", Inventory!B6)-1)</f>
        <v>LEXAN Polycarbonate Sheet</v>
      </c>
      <c r="E7" s="16" t="str">
        <f>MID(Inventory!F6, FIND(",", Inventory!F6)+2, 4)</f>
        <v>2010</v>
      </c>
      <c r="G7" s="14">
        <v>3</v>
      </c>
      <c r="H7" s="14">
        <f ca="1"/>
        <v>6275</v>
      </c>
    </row>
    <row r="8" spans="1:8" x14ac:dyDescent="0.3">
      <c r="A8" s="15" t="str">
        <f>_xlfn.CONCAT("SKU-", Inventory!D7, "-", Inventory!A7)</f>
        <v>SKU-15-2097</v>
      </c>
      <c r="B8" s="15" t="str">
        <f>UPPER(Inventory!C7)</f>
        <v>RUBBER</v>
      </c>
      <c r="C8" s="15" t="str">
        <f>LOWER(LEFT(Inventory!E7, 5))</f>
        <v>pensh</v>
      </c>
      <c r="D8" s="16" t="str">
        <f>LEFT(Inventory!B7, FIND(",", Inventory!B7)-1)</f>
        <v>Washer</v>
      </c>
      <c r="E8" s="16" t="str">
        <f>MID(Inventory!F7, FIND(",", Inventory!F7)+2, 4)</f>
        <v>2000</v>
      </c>
      <c r="G8" s="14">
        <v>4</v>
      </c>
      <c r="H8" s="14">
        <f ca="1"/>
        <v>3203</v>
      </c>
    </row>
    <row r="9" spans="1:8" x14ac:dyDescent="0.3">
      <c r="A9" s="15" t="str">
        <f>_xlfn.CONCAT("SKU-", Inventory!D8, "-", Inventory!A8)</f>
        <v>SKU-17-2073</v>
      </c>
      <c r="B9" s="15" t="str">
        <f>UPPER(Inventory!C8)</f>
        <v>SILICON</v>
      </c>
      <c r="C9" s="15" t="str">
        <f>LOWER(LEFT(Inventory!E8, 5))</f>
        <v>pensh</v>
      </c>
      <c r="D9" s="16" t="str">
        <f>LEFT(Inventory!B8, FIND(",", Inventory!B8)-1)</f>
        <v>Sealant/Caulking</v>
      </c>
      <c r="E9" s="16" t="str">
        <f>MID(Inventory!F8, FIND(",", Inventory!F8)+2, 4)</f>
        <v>2000</v>
      </c>
      <c r="G9" s="14">
        <v>5</v>
      </c>
      <c r="H9" s="14">
        <f ca="1"/>
        <v>6536</v>
      </c>
    </row>
    <row r="10" spans="1:8" x14ac:dyDescent="0.3">
      <c r="A10" s="15" t="str">
        <f>_xlfn.CONCAT("SKU-", Inventory!D9, "-", Inventory!A9)</f>
        <v>SKU-01-2290</v>
      </c>
      <c r="B10" s="15" t="str">
        <f>UPPER(Inventory!C9)</f>
        <v>ALUMINUM</v>
      </c>
      <c r="C10" s="15" t="str">
        <f>LOWER(LEFT(Inventory!E9, 5))</f>
        <v>metal</v>
      </c>
      <c r="D10" s="16" t="str">
        <f>LEFT(Inventory!B9, FIND(",", Inventory!B9)-1)</f>
        <v>Aluminum 6061-T6</v>
      </c>
      <c r="E10" s="16" t="str">
        <f>MID(Inventory!F9, FIND(",", Inventory!F9)+2, 4)</f>
        <v>3182</v>
      </c>
    </row>
    <row r="11" spans="1:8" x14ac:dyDescent="0.3">
      <c r="A11" s="15" t="str">
        <f>_xlfn.CONCAT("SKU-", Inventory!D10, "-", Inventory!A10)</f>
        <v>SKU-11-2850</v>
      </c>
      <c r="B11" s="15" t="str">
        <f>UPPER(Inventory!C10)</f>
        <v>PLASTIC</v>
      </c>
      <c r="C11" s="15" t="str">
        <f>LOWER(LEFT(Inventory!E10, 5))</f>
        <v>pensh</v>
      </c>
      <c r="D11" s="16" t="str">
        <f>LEFT(Inventory!B10, FIND(",", Inventory!B10)-1)</f>
        <v>Quick-Disconnect Tube Couplings</v>
      </c>
      <c r="E11" s="16" t="str">
        <f>MID(Inventory!F10, FIND(",", Inventory!F10)+2, 4)</f>
        <v>2000</v>
      </c>
    </row>
    <row r="12" spans="1:8" x14ac:dyDescent="0.3">
      <c r="A12" s="15" t="str">
        <f>_xlfn.CONCAT("SKU-", Inventory!D11, "-", Inventory!A11)</f>
        <v>SKU-11-2369</v>
      </c>
      <c r="B12" s="15" t="str">
        <f>UPPER(Inventory!C11)</f>
        <v>PLASTIC</v>
      </c>
      <c r="C12" s="15" t="str">
        <f>LOWER(LEFT(Inventory!E11, 5))</f>
        <v>fresh</v>
      </c>
      <c r="D12" s="16" t="str">
        <f>LEFT(Inventory!B11, FIND(",", Inventory!B11)-1)</f>
        <v>Mini Adjustable Float Valve</v>
      </c>
      <c r="E12" s="16" t="str">
        <f>MID(Inventory!F11, FIND(",", Inventory!F11)+2, 4)</f>
        <v>3121</v>
      </c>
    </row>
    <row r="13" spans="1:8" x14ac:dyDescent="0.3">
      <c r="A13" s="15" t="str">
        <f>_xlfn.CONCAT("SKU-", Inventory!D12, "-", Inventory!A12)</f>
        <v>SKU-13-2082</v>
      </c>
      <c r="B13" s="15" t="str">
        <f>UPPER(Inventory!C12)</f>
        <v>POLYETHYLENE</v>
      </c>
      <c r="C13" s="15" t="str">
        <f>LOWER(LEFT(Inventory!E12, 5))</f>
        <v xml:space="preserve">foam </v>
      </c>
      <c r="D13" s="16" t="str">
        <f>LEFT(Inventory!B12, FIND(",", Inventory!B12)-1)</f>
        <v>Closed Cell Foam</v>
      </c>
      <c r="E13" s="16" t="str">
        <f>MID(Inventory!F12, FIND(",", Inventory!F12)+2, 4)</f>
        <v>2018</v>
      </c>
    </row>
    <row r="14" spans="1:8" x14ac:dyDescent="0.3">
      <c r="A14" s="15" t="str">
        <f>_xlfn.CONCAT("SKU-", Inventory!D13, "-", Inventory!A13)</f>
        <v>SKU-19-2485</v>
      </c>
      <c r="B14" s="15" t="str">
        <f>UPPER(Inventory!C13)</f>
        <v>STEEL</v>
      </c>
      <c r="C14" s="15" t="str">
        <f>LOWER(LEFT(Inventory!E13, 5))</f>
        <v>pensh</v>
      </c>
      <c r="D14" s="16" t="str">
        <f>LEFT(Inventory!B13, FIND(",", Inventory!B13)-1)</f>
        <v>Draw Latches</v>
      </c>
      <c r="E14" s="16" t="str">
        <f>MID(Inventory!F13, FIND(",", Inventory!F13)+2, 4)</f>
        <v>2000</v>
      </c>
    </row>
    <row r="15" spans="1:8" x14ac:dyDescent="0.3">
      <c r="A15" s="15" t="str">
        <f>_xlfn.CONCAT("SKU-", Inventory!D14, "-", Inventory!A14)</f>
        <v>SKU-16-2900</v>
      </c>
      <c r="B15" s="15" t="str">
        <f>UPPER(Inventory!C14)</f>
        <v>SALT</v>
      </c>
      <c r="C15" s="15" t="str">
        <f>LOWER(LEFT(Inventory!E14, 5))</f>
        <v>aquar</v>
      </c>
      <c r="D15" s="16" t="str">
        <f>LEFT(Inventory!B14, FIND(",", Inventory!B14)-1)</f>
        <v>Tropic Marin Sea Salt</v>
      </c>
      <c r="E15" s="16" t="str">
        <f>MID(Inventory!F14, FIND(",", Inventory!F14)+2, 4)</f>
        <v>3181</v>
      </c>
    </row>
    <row r="16" spans="1:8" x14ac:dyDescent="0.3">
      <c r="A16" s="15" t="str">
        <f>_xlfn.CONCAT("SKU-", Inventory!D15, "-", Inventory!A15)</f>
        <v>SKU-19-2255</v>
      </c>
      <c r="B16" s="15" t="str">
        <f>UPPER(Inventory!C15)</f>
        <v>STEEL</v>
      </c>
      <c r="C16" s="15" t="str">
        <f>LOWER(LEFT(Inventory!E15, 5))</f>
        <v>pensh</v>
      </c>
      <c r="D16" s="16" t="str">
        <f>LEFT(Inventory!B15, FIND(",", Inventory!B15)-1)</f>
        <v>Cap Screws</v>
      </c>
      <c r="E16" s="16" t="str">
        <f>MID(Inventory!F15, FIND(",", Inventory!F15)+2, 4)</f>
        <v>2000</v>
      </c>
    </row>
    <row r="17" spans="1:5" x14ac:dyDescent="0.3">
      <c r="A17" s="15" t="str">
        <f>_xlfn.CONCAT("SKU-", Inventory!D16, "-", Inventory!A16)</f>
        <v>SKU-19-2568</v>
      </c>
      <c r="B17" s="15" t="str">
        <f>UPPER(Inventory!C16)</f>
        <v>STEEL</v>
      </c>
      <c r="C17" s="15" t="str">
        <f>LOWER(LEFT(Inventory!E16, 5))</f>
        <v>pensh</v>
      </c>
      <c r="D17" s="16" t="str">
        <f>LEFT(Inventory!B16, FIND(",", Inventory!B16)-1)</f>
        <v>Cap Screws</v>
      </c>
      <c r="E17" s="16" t="str">
        <f>MID(Inventory!F16, FIND(",", Inventory!F16)+2, 4)</f>
        <v>2000</v>
      </c>
    </row>
    <row r="18" spans="1:5" x14ac:dyDescent="0.3">
      <c r="A18" s="15" t="str">
        <f>_xlfn.CONCAT("SKU-", Inventory!D17, "-", Inventory!A17)</f>
        <v>SKU-19-2676</v>
      </c>
      <c r="B18" s="15" t="str">
        <f>UPPER(Inventory!C17)</f>
        <v>STEEL</v>
      </c>
      <c r="C18" s="15" t="str">
        <f>LOWER(LEFT(Inventory!E17, 5))</f>
        <v>pensh</v>
      </c>
      <c r="D18" s="16" t="str">
        <f>LEFT(Inventory!B17, FIND(",", Inventory!B17)-1)</f>
        <v>Cap Screws</v>
      </c>
      <c r="E18" s="16" t="str">
        <f>MID(Inventory!F17, FIND(",", Inventory!F17)+2, 4)</f>
        <v>2000</v>
      </c>
    </row>
    <row r="19" spans="1:5" x14ac:dyDescent="0.3">
      <c r="A19" s="15" t="str">
        <f>_xlfn.CONCAT("SKU-", Inventory!D18, "-", Inventory!A18)</f>
        <v>SKU-15-2658</v>
      </c>
      <c r="B19" s="15" t="str">
        <f>UPPER(Inventory!C18)</f>
        <v>RUBBER</v>
      </c>
      <c r="C19" s="15" t="str">
        <f>LOWER(LEFT(Inventory!E18, 5))</f>
        <v>garlo</v>
      </c>
      <c r="D19" s="16" t="str">
        <f>LEFT(Inventory!B18, FIND(",", Inventory!B18)-1)</f>
        <v>Red SBR Rubber Sheet (Custom Cut Gasket)</v>
      </c>
      <c r="E19" s="16" t="str">
        <f>MID(Inventory!F18, FIND(",", Inventory!F18)+2, 4)</f>
        <v>2135</v>
      </c>
    </row>
    <row r="20" spans="1:5" x14ac:dyDescent="0.3">
      <c r="A20" s="15" t="str">
        <f>_xlfn.CONCAT("SKU-", Inventory!D19, "-", Inventory!A19)</f>
        <v>SKU-09-2350</v>
      </c>
      <c r="B20" s="15" t="str">
        <f>UPPER(Inventory!C19)</f>
        <v>PAINT</v>
      </c>
      <c r="C20" s="15" t="str">
        <f>LOWER(LEFT(Inventory!E19, 5))</f>
        <v>harri</v>
      </c>
      <c r="D20" s="16" t="str">
        <f>LEFT(Inventory!B19, FIND(",", Inventory!B19)-1)</f>
        <v>Rust-Oleum</v>
      </c>
      <c r="E20" s="16" t="str">
        <f>MID(Inventory!F19, FIND(",", Inventory!F19)+2, 4)</f>
        <v>2010</v>
      </c>
    </row>
    <row r="21" spans="1:5" x14ac:dyDescent="0.3">
      <c r="A21" s="15" t="str">
        <f>_xlfn.CONCAT("SKU-", Inventory!D20, "-", Inventory!A20)</f>
        <v>SKU-11-2252</v>
      </c>
      <c r="B21" s="15" t="str">
        <f>UPPER(Inventory!C20)</f>
        <v>PLASTIC</v>
      </c>
      <c r="C21" s="15" t="str">
        <f>LOWER(LEFT(Inventory!E20, 5))</f>
        <v>fisch</v>
      </c>
      <c r="D21" s="16" t="str">
        <f>LEFT(Inventory!B20, FIND(",", Inventory!B20)-1)</f>
        <v>Containment Unit</v>
      </c>
      <c r="E21" s="16" t="str">
        <f>MID(Inventory!F20, FIND(",", Inventory!F20)+2, 4)</f>
        <v>2000</v>
      </c>
    </row>
    <row r="22" spans="1:5" x14ac:dyDescent="0.3">
      <c r="A22" s="15" t="str">
        <f>_xlfn.CONCAT("SKU-", Inventory!D21, "-", Inventory!A21)</f>
        <v>SKU-08-2937</v>
      </c>
      <c r="B22" s="15" t="str">
        <f>UPPER(Inventory!C21)</f>
        <v>OSB</v>
      </c>
      <c r="C22" s="15" t="str">
        <f>LOWER(LEFT(Inventory!E21, 5))</f>
        <v>fisch</v>
      </c>
      <c r="D22" s="16" t="str">
        <f>LEFT(Inventory!B21, FIND(",", Inventory!B21)-1)</f>
        <v>Backboard</v>
      </c>
      <c r="E22" s="16" t="str">
        <f>MID(Inventory!F21, FIND(",", Inventory!F21)+2, 4)</f>
        <v>2000</v>
      </c>
    </row>
    <row r="23" spans="1:5" x14ac:dyDescent="0.3">
      <c r="A23" s="15" t="str">
        <f>_xlfn.CONCAT("SKU-", Inventory!D22, "-", Inventory!A22)</f>
        <v>SKU-10-2553</v>
      </c>
      <c r="B23" s="15" t="str">
        <f>UPPER(Inventory!C22)</f>
        <v>PE</v>
      </c>
      <c r="C23" s="15" t="str">
        <f>LOWER(LEFT(Inventory!E22, 5))</f>
        <v>fisch</v>
      </c>
      <c r="D23" s="16" t="str">
        <f>LEFT(Inventory!B22, FIND(",", Inventory!B22)-1)</f>
        <v>Foam Board Insulation LD</v>
      </c>
      <c r="E23" s="16" t="str">
        <f>MID(Inventory!F22, FIND(",", Inventory!F22)+2, 4)</f>
        <v>2000</v>
      </c>
    </row>
    <row r="24" spans="1:5" x14ac:dyDescent="0.3">
      <c r="A24" s="15" t="str">
        <f>_xlfn.CONCAT("SKU-", Inventory!D23, "-", Inventory!A23)</f>
        <v>SKU-02-2236</v>
      </c>
      <c r="B24" s="15" t="str">
        <f>UPPER(Inventory!C23)</f>
        <v>ACRYLIC</v>
      </c>
      <c r="C24" s="15" t="str">
        <f>LOWER(LEFT(Inventory!E23, 5))</f>
        <v>roche</v>
      </c>
      <c r="D24" s="16" t="str">
        <f>LEFT(Inventory!B23, FIND(",", Inventory!B23)-1)</f>
        <v>Brackets</v>
      </c>
      <c r="E24" s="16" t="str">
        <f>MID(Inventory!F23, FIND(",", Inventory!F23)+2, 4)</f>
        <v>2204</v>
      </c>
    </row>
    <row r="25" spans="1:5" x14ac:dyDescent="0.3">
      <c r="A25" s="15" t="str">
        <f>_xlfn.CONCAT("SKU-", Inventory!D24, "-", Inventory!A24)</f>
        <v>SKU-01-2785</v>
      </c>
      <c r="B25" s="15" t="str">
        <f>UPPER(Inventory!C24)</f>
        <v>ALUMINUM</v>
      </c>
      <c r="C25" s="15" t="str">
        <f>LOWER(LEFT(Inventory!E24, 5))</f>
        <v>pensh</v>
      </c>
      <c r="D25" s="16" t="str">
        <f>LEFT(Inventory!B24, FIND(",", Inventory!B24)-1)</f>
        <v>Reflective Trough</v>
      </c>
      <c r="E25" s="16" t="str">
        <f>MID(Inventory!F24, FIND(",", Inventory!F24)+2, 4)</f>
        <v>2000</v>
      </c>
    </row>
    <row r="26" spans="1:5" x14ac:dyDescent="0.3">
      <c r="A26" s="15" t="str">
        <f>_xlfn.CONCAT("SKU-", Inventory!D25, "-", Inventory!A25)</f>
        <v>SKU-04-2872</v>
      </c>
      <c r="B26" s="15" t="str">
        <f>UPPER(Inventory!C25)</f>
        <v>COPPER</v>
      </c>
      <c r="C26" s="15" t="str">
        <f>LOWER(LEFT(Inventory!E25, 5))</f>
        <v>pensh</v>
      </c>
      <c r="D26" s="16" t="str">
        <f>LEFT(Inventory!B25, FIND(",", Inventory!B25)-1)</f>
        <v>Receiver Pipe</v>
      </c>
      <c r="E26" s="16" t="str">
        <f>MID(Inventory!F25, FIND(",", Inventory!F25)+2, 4)</f>
        <v>2000</v>
      </c>
    </row>
    <row r="27" spans="1:5" x14ac:dyDescent="0.3">
      <c r="A27" s="15" t="str">
        <f>_xlfn.CONCAT("SKU-", Inventory!D26, "-", Inventory!A26)</f>
        <v>SKU-14-2422</v>
      </c>
      <c r="B27" s="15" t="str">
        <f>UPPER(Inventory!C26)</f>
        <v>PVC</v>
      </c>
      <c r="C27" s="15" t="str">
        <f>LOWER(LEFT(Inventory!E26, 5))</f>
        <v>fisch</v>
      </c>
      <c r="D27" s="16" t="str">
        <f>LEFT(Inventory!B26, FIND(",", Inventory!B26)-1)</f>
        <v>PVC Pipe</v>
      </c>
      <c r="E27" s="16" t="str">
        <f>MID(Inventory!F26, FIND(",", Inventory!F26)+2, 4)</f>
        <v>2000</v>
      </c>
    </row>
    <row r="28" spans="1:5" x14ac:dyDescent="0.3">
      <c r="A28" s="15" t="str">
        <f>_xlfn.CONCAT("SKU-", Inventory!D27, "-", Inventory!A27)</f>
        <v>SKU-14-2224</v>
      </c>
      <c r="B28" s="15" t="str">
        <f>UPPER(Inventory!C27)</f>
        <v>PVC</v>
      </c>
      <c r="C28" s="15" t="str">
        <f>LOWER(LEFT(Inventory!E27, 5))</f>
        <v>fisch</v>
      </c>
      <c r="D28" s="16" t="str">
        <f>LEFT(Inventory!B27, FIND(",", Inventory!B27)-1)</f>
        <v>PVC Fittings</v>
      </c>
      <c r="E28" s="16" t="str">
        <f>MID(Inventory!F27, FIND(",", Inventory!F27)+2, 4)</f>
        <v>2000</v>
      </c>
    </row>
    <row r="29" spans="1:5" x14ac:dyDescent="0.3">
      <c r="A29" s="15" t="str">
        <f>_xlfn.CONCAT("SKU-", Inventory!D28, "-", Inventory!A28)</f>
        <v>SKU-10-2907</v>
      </c>
      <c r="B29" s="15" t="str">
        <f>UPPER(Inventory!C28)</f>
        <v>PE</v>
      </c>
      <c r="C29" s="15" t="str">
        <f>LOWER(LEFT(Inventory!E28, 5))</f>
        <v>fisch</v>
      </c>
      <c r="D29" s="16" t="str">
        <f>LEFT(Inventory!B28, FIND(",", Inventory!B28)-1)</f>
        <v>Pipe Insulation LD</v>
      </c>
      <c r="E29" s="16" t="str">
        <f>MID(Inventory!F28, FIND(",", Inventory!F28)+2, 4)</f>
        <v>2000</v>
      </c>
    </row>
    <row r="30" spans="1:5" x14ac:dyDescent="0.3">
      <c r="A30" s="15" t="str">
        <f>_xlfn.CONCAT("SKU-", Inventory!D29, "-", Inventory!A29)</f>
        <v>SKU-18-2933</v>
      </c>
      <c r="B30" s="15" t="str">
        <f>UPPER(Inventory!C29)</f>
        <v>STAINLESS STEEL</v>
      </c>
      <c r="C30" s="15" t="str">
        <f>LOWER(LEFT(Inventory!E29, 5))</f>
        <v>pensh</v>
      </c>
      <c r="D30" s="16" t="str">
        <f>LEFT(Inventory!B29, FIND(",", Inventory!B29)-1)</f>
        <v>Housing Case</v>
      </c>
      <c r="E30" s="16" t="str">
        <f>MID(Inventory!F29, FIND(",", Inventory!F29)+2, 4)</f>
        <v>2000</v>
      </c>
    </row>
    <row r="31" spans="1:5" x14ac:dyDescent="0.3">
      <c r="A31" s="15" t="str">
        <f>_xlfn.CONCAT("SKU-", Inventory!D30, "-", Inventory!A30)</f>
        <v>SKU-05-2133</v>
      </c>
      <c r="B31" s="15" t="str">
        <f>UPPER(Inventory!C30)</f>
        <v>FIBERGLASS</v>
      </c>
      <c r="C31" s="15" t="str">
        <f>LOWER(LEFT(Inventory!E30, 5))</f>
        <v>pensh</v>
      </c>
      <c r="D31" s="16" t="str">
        <f>LEFT(Inventory!B30, FIND(",", Inventory!B30)-1)</f>
        <v>Collector Back Insulation</v>
      </c>
      <c r="E31" s="16" t="str">
        <f>MID(Inventory!F30, FIND(",", Inventory!F30)+2, 4)</f>
        <v>2000</v>
      </c>
    </row>
    <row r="32" spans="1:5" x14ac:dyDescent="0.3">
      <c r="A32" s="15" t="str">
        <f>_xlfn.CONCAT("SKU-", Inventory!D31, "-", Inventory!A31)</f>
        <v>SKU-04-2675</v>
      </c>
      <c r="B32" s="15" t="str">
        <f>UPPER(Inventory!C31)</f>
        <v>COPPER</v>
      </c>
      <c r="C32" s="15" t="str">
        <f>LOWER(LEFT(Inventory!E31, 5))</f>
        <v>pensh</v>
      </c>
      <c r="D32" s="16" t="str">
        <f>LEFT(Inventory!B31, FIND(",", Inventory!B31)-1)</f>
        <v>Receiver Tube</v>
      </c>
      <c r="E32" s="16" t="str">
        <f>MID(Inventory!F31, FIND(",", Inventory!F31)+2, 4)</f>
        <v>2000</v>
      </c>
    </row>
    <row r="33" spans="1:5" x14ac:dyDescent="0.3">
      <c r="A33" s="15" t="str">
        <f>_xlfn.CONCAT("SKU-", Inventory!D32, "-", Inventory!A32)</f>
        <v>SKU-01-2932</v>
      </c>
      <c r="B33" s="15" t="str">
        <f>UPPER(Inventory!C32)</f>
        <v>ALUMINUM</v>
      </c>
      <c r="C33" s="15" t="str">
        <f>LOWER(LEFT(Inventory!E32, 5))</f>
        <v>pensh</v>
      </c>
      <c r="D33" s="16" t="str">
        <f>LEFT(Inventory!B32, FIND(",", Inventory!B32)-1)</f>
        <v>Absorber Fins</v>
      </c>
      <c r="E33" s="16" t="str">
        <f>MID(Inventory!F32, FIND(",", Inventory!F32)+2, 4)</f>
        <v>2000</v>
      </c>
    </row>
    <row r="34" spans="1:5" x14ac:dyDescent="0.3">
      <c r="A34" s="15" t="str">
        <f>_xlfn.CONCAT("SKU-", Inventory!D33, "-", Inventory!A33)</f>
        <v>SKU-06-2452</v>
      </c>
      <c r="B34" s="15" t="str">
        <f>UPPER(Inventory!C33)</f>
        <v>FOAM</v>
      </c>
      <c r="C34" s="15" t="str">
        <f>LOWER(LEFT(Inventory!E33, 5))</f>
        <v>pensh</v>
      </c>
      <c r="D34" s="16" t="str">
        <f>LEFT(Inventory!B33, FIND(",", Inventory!B33)-1)</f>
        <v>Pipe Insulation</v>
      </c>
      <c r="E34" s="16" t="str">
        <f>MID(Inventory!F33, FIND(",", Inventory!F33)+2, 4)</f>
        <v>2000</v>
      </c>
    </row>
    <row r="35" spans="1:5" x14ac:dyDescent="0.3">
      <c r="A35" s="15" t="str">
        <f>_xlfn.CONCAT("SKU-", Inventory!D34, "-", Inventory!A34)</f>
        <v>SKU-06-2035</v>
      </c>
      <c r="B35" s="15" t="str">
        <f>UPPER(Inventory!C34)</f>
        <v>FOAM</v>
      </c>
      <c r="C35" s="15" t="str">
        <f>LOWER(LEFT(Inventory!E34, 5))</f>
        <v>pensh</v>
      </c>
      <c r="D35" s="16" t="str">
        <f>LEFT(Inventory!B34, FIND(",", Inventory!B34)-1)</f>
        <v>Pipe Insulation</v>
      </c>
      <c r="E35" s="16" t="str">
        <f>MID(Inventory!F34, FIND(",", Inventory!F34)+2, 4)</f>
        <v>2000</v>
      </c>
    </row>
    <row r="36" spans="1:5" x14ac:dyDescent="0.3">
      <c r="A36" s="15" t="str">
        <f>_xlfn.CONCAT("SKU-", Inventory!D35, "-", Inventory!A35)</f>
        <v>SKU-17-2288</v>
      </c>
      <c r="B36" s="15" t="str">
        <f>UPPER(Inventory!C35)</f>
        <v>SILICON</v>
      </c>
      <c r="C36" s="15" t="str">
        <f>LOWER(LEFT(Inventory!E35, 5))</f>
        <v>pensh</v>
      </c>
      <c r="D36" s="16" t="str">
        <f>LEFT(Inventory!B35, FIND(",", Inventory!B35)-1)</f>
        <v>Sealant/Caulking</v>
      </c>
      <c r="E36" s="16" t="str">
        <f>MID(Inventory!F35, FIND(",", Inventory!F35)+2, 4)</f>
        <v>2000</v>
      </c>
    </row>
  </sheetData>
  <mergeCells count="1">
    <mergeCell ref="G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0"/>
  <sheetViews>
    <sheetView workbookViewId="0"/>
  </sheetViews>
  <sheetFormatPr defaultRowHeight="14.4" x14ac:dyDescent="0.3"/>
  <cols>
    <col min="1" max="6" width="12.21875" customWidth="1"/>
  </cols>
  <sheetData>
    <row r="1" spans="1:5" ht="23.4" x14ac:dyDescent="0.45">
      <c r="A1" s="4" t="s">
        <v>102</v>
      </c>
    </row>
    <row r="4" spans="1:5" ht="15" thickBot="1" x14ac:dyDescent="0.35">
      <c r="A4" s="3" t="s">
        <v>42</v>
      </c>
      <c r="B4" s="3" t="s">
        <v>1</v>
      </c>
      <c r="C4" s="3" t="s">
        <v>65</v>
      </c>
      <c r="D4" s="3" t="s">
        <v>0</v>
      </c>
      <c r="E4" s="3" t="s">
        <v>101</v>
      </c>
    </row>
    <row r="5" spans="1:5" x14ac:dyDescent="0.3">
      <c r="A5" t="str">
        <f>"SKU"&amp;"-"&amp;Inventory!D4&amp;"-"&amp;Inventory!A4</f>
        <v>SKU-07-2425</v>
      </c>
      <c r="B5" t="str">
        <f>UPPER(Inventory!C4)</f>
        <v>GLASS</v>
      </c>
      <c r="C5" t="str">
        <f>LOWER(LEFT(Inventory!E4,5))</f>
        <v>dynam</v>
      </c>
      <c r="D5" s="1" t="str">
        <f>LEFT(Inventory!B4,FIND(",",Inventory!B4)-1)</f>
        <v>Solar Glass (Low Iron Tempered)</v>
      </c>
      <c r="E5" s="1" t="str">
        <f>RIGHT(Inventory!F4,3)&amp;MID(Inventory!F4,FIND(",",Inventory!F4)+2,4)</f>
        <v>NSW2007</v>
      </c>
    </row>
    <row r="6" spans="1:5" x14ac:dyDescent="0.3">
      <c r="A6" t="str">
        <f>"SKU"&amp;"-"&amp;Inventory!D5&amp;"-"&amp;Inventory!A5</f>
        <v>SKU-01-2213</v>
      </c>
      <c r="B6" t="str">
        <f>UPPER(Inventory!C5)</f>
        <v>ALUMINUM</v>
      </c>
      <c r="C6" t="str">
        <f>LOWER(LEFT(Inventory!E5,5))</f>
        <v>metal</v>
      </c>
      <c r="D6" s="1" t="str">
        <f>LEFT(Inventory!B5,FIND(",",Inventory!B5)-1)</f>
        <v>Aluminum 6061-T6 Bare Sheet</v>
      </c>
      <c r="E6" s="1" t="str">
        <f>RIGHT(Inventory!F5,3)&amp;MID(Inventory!F5,FIND(",",Inventory!F5)+2,4)</f>
        <v>VIC3182</v>
      </c>
    </row>
    <row r="7" spans="1:5" x14ac:dyDescent="0.3">
      <c r="A7" t="str">
        <f>"SKU"&amp;"-"&amp;Inventory!D6&amp;"-"&amp;Inventory!A6</f>
        <v>SKU-12-2381</v>
      </c>
      <c r="B7" t="str">
        <f>UPPER(Inventory!C6)</f>
        <v>POLYCARBONATE</v>
      </c>
      <c r="C7" t="str">
        <f>LOWER(LEFT(Inventory!E6,5))</f>
        <v>harri</v>
      </c>
      <c r="D7" s="1" t="str">
        <f>LEFT(Inventory!B6,FIND(",",Inventory!B6)-1)</f>
        <v>LEXAN Polycarbonate Sheet</v>
      </c>
      <c r="E7" s="1" t="str">
        <f>RIGHT(Inventory!F6,3)&amp;MID(Inventory!F6,FIND(",",Inventory!F6)+2,4)</f>
        <v>NSW2010</v>
      </c>
    </row>
    <row r="8" spans="1:5" x14ac:dyDescent="0.3">
      <c r="A8" t="str">
        <f>"SKU"&amp;"-"&amp;Inventory!D7&amp;"-"&amp;Inventory!A7</f>
        <v>SKU-15-2097</v>
      </c>
      <c r="B8" t="str">
        <f>UPPER(Inventory!C7)</f>
        <v>RUBBER</v>
      </c>
      <c r="C8" t="str">
        <f>LOWER(LEFT(Inventory!E7,5))</f>
        <v>pensh</v>
      </c>
      <c r="D8" s="1" t="str">
        <f>LEFT(Inventory!B7,FIND(",",Inventory!B7)-1)</f>
        <v>Washer</v>
      </c>
      <c r="E8" s="1" t="str">
        <f>RIGHT(Inventory!F7,3)&amp;MID(Inventory!F7,FIND(",",Inventory!F7)+2,4)</f>
        <v>NSW2000</v>
      </c>
    </row>
    <row r="9" spans="1:5" x14ac:dyDescent="0.3">
      <c r="A9" t="str">
        <f>"SKU"&amp;"-"&amp;Inventory!D8&amp;"-"&amp;Inventory!A8</f>
        <v>SKU-17-2073</v>
      </c>
      <c r="B9" t="str">
        <f>UPPER(Inventory!C8)</f>
        <v>SILICON</v>
      </c>
      <c r="C9" t="str">
        <f>LOWER(LEFT(Inventory!E8,5))</f>
        <v>pensh</v>
      </c>
      <c r="D9" s="1" t="str">
        <f>LEFT(Inventory!B8,FIND(",",Inventory!B8)-1)</f>
        <v>Sealant/Caulking</v>
      </c>
      <c r="E9" s="1" t="str">
        <f>RIGHT(Inventory!F8,3)&amp;MID(Inventory!F8,FIND(",",Inventory!F8)+2,4)</f>
        <v>NSW2000</v>
      </c>
    </row>
    <row r="10" spans="1:5" x14ac:dyDescent="0.3">
      <c r="A10" t="str">
        <f>"SKU"&amp;"-"&amp;Inventory!D9&amp;"-"&amp;Inventory!A9</f>
        <v>SKU-01-2290</v>
      </c>
      <c r="B10" t="str">
        <f>UPPER(Inventory!C9)</f>
        <v>ALUMINUM</v>
      </c>
      <c r="C10" t="str">
        <f>LOWER(LEFT(Inventory!E9,5))</f>
        <v>metal</v>
      </c>
      <c r="D10" s="1" t="str">
        <f>LEFT(Inventory!B9,FIND(",",Inventory!B9)-1)</f>
        <v>Aluminum 6061-T6</v>
      </c>
      <c r="E10" s="1" t="str">
        <f>RIGHT(Inventory!F9,3)&amp;MID(Inventory!F9,FIND(",",Inventory!F9)+2,4)</f>
        <v>VIC3182</v>
      </c>
    </row>
    <row r="11" spans="1:5" x14ac:dyDescent="0.3">
      <c r="A11" t="str">
        <f>"SKU"&amp;"-"&amp;Inventory!D10&amp;"-"&amp;Inventory!A10</f>
        <v>SKU-11-2850</v>
      </c>
      <c r="B11" t="str">
        <f>UPPER(Inventory!C10)</f>
        <v>PLASTIC</v>
      </c>
      <c r="C11" t="str">
        <f>LOWER(LEFT(Inventory!E10,5))</f>
        <v>pensh</v>
      </c>
      <c r="D11" s="1" t="str">
        <f>LEFT(Inventory!B10,FIND(",",Inventory!B10)-1)</f>
        <v>Quick-Disconnect Tube Couplings</v>
      </c>
      <c r="E11" s="1" t="str">
        <f>RIGHT(Inventory!F10,3)&amp;MID(Inventory!F10,FIND(",",Inventory!F10)+2,4)</f>
        <v>NSW2000</v>
      </c>
    </row>
    <row r="12" spans="1:5" x14ac:dyDescent="0.3">
      <c r="A12" t="str">
        <f>"SKU"&amp;"-"&amp;Inventory!D11&amp;"-"&amp;Inventory!A11</f>
        <v>SKU-11-2369</v>
      </c>
      <c r="B12" t="str">
        <f>UPPER(Inventory!C11)</f>
        <v>PLASTIC</v>
      </c>
      <c r="C12" t="str">
        <f>LOWER(LEFT(Inventory!E11,5))</f>
        <v>fresh</v>
      </c>
      <c r="D12" s="1" t="str">
        <f>LEFT(Inventory!B11,FIND(",",Inventory!B11)-1)</f>
        <v>Mini Adjustable Float Valve</v>
      </c>
      <c r="E12" s="1" t="str">
        <f>RIGHT(Inventory!F11,3)&amp;MID(Inventory!F11,FIND(",",Inventory!F11)+2,4)</f>
        <v>VIC3121</v>
      </c>
    </row>
    <row r="13" spans="1:5" x14ac:dyDescent="0.3">
      <c r="A13" t="str">
        <f>"SKU"&amp;"-"&amp;Inventory!D12&amp;"-"&amp;Inventory!A12</f>
        <v>SKU-13-2082</v>
      </c>
      <c r="B13" t="str">
        <f>UPPER(Inventory!C12)</f>
        <v>POLYETHYLENE</v>
      </c>
      <c r="C13" t="str">
        <f>LOWER(LEFT(Inventory!E12,5))</f>
        <v xml:space="preserve">foam </v>
      </c>
      <c r="D13" s="1" t="str">
        <f>LEFT(Inventory!B12,FIND(",",Inventory!B12)-1)</f>
        <v>Closed Cell Foam</v>
      </c>
      <c r="E13" s="1" t="str">
        <f>RIGHT(Inventory!F12,3)&amp;MID(Inventory!F12,FIND(",",Inventory!F12)+2,4)</f>
        <v>NSW2018</v>
      </c>
    </row>
    <row r="14" spans="1:5" x14ac:dyDescent="0.3">
      <c r="A14" t="str">
        <f>"SKU"&amp;"-"&amp;Inventory!D13&amp;"-"&amp;Inventory!A13</f>
        <v>SKU-19-2485</v>
      </c>
      <c r="B14" t="str">
        <f>UPPER(Inventory!C13)</f>
        <v>STEEL</v>
      </c>
      <c r="C14" t="str">
        <f>LOWER(LEFT(Inventory!E13,5))</f>
        <v>pensh</v>
      </c>
      <c r="D14" s="1" t="str">
        <f>LEFT(Inventory!B13,FIND(",",Inventory!B13)-1)</f>
        <v>Draw Latches</v>
      </c>
      <c r="E14" s="1" t="str">
        <f>RIGHT(Inventory!F13,3)&amp;MID(Inventory!F13,FIND(",",Inventory!F13)+2,4)</f>
        <v>NSW2000</v>
      </c>
    </row>
    <row r="15" spans="1:5" x14ac:dyDescent="0.3">
      <c r="A15" t="str">
        <f>"SKU"&amp;"-"&amp;Inventory!D14&amp;"-"&amp;Inventory!A14</f>
        <v>SKU-16-2900</v>
      </c>
      <c r="B15" t="str">
        <f>UPPER(Inventory!C14)</f>
        <v>SALT</v>
      </c>
      <c r="C15" t="str">
        <f>LOWER(LEFT(Inventory!E14,5))</f>
        <v>aquar</v>
      </c>
      <c r="D15" s="1" t="str">
        <f>LEFT(Inventory!B14,FIND(",",Inventory!B14)-1)</f>
        <v>Tropic Marin Sea Salt</v>
      </c>
      <c r="E15" s="1" t="str">
        <f>RIGHT(Inventory!F14,3)&amp;MID(Inventory!F14,FIND(",",Inventory!F14)+2,4)</f>
        <v>VIC3181</v>
      </c>
    </row>
    <row r="16" spans="1:5" x14ac:dyDescent="0.3">
      <c r="D16" s="1"/>
      <c r="E16" s="1"/>
    </row>
    <row r="17" spans="1:9" x14ac:dyDescent="0.3">
      <c r="B17" t="s">
        <v>108</v>
      </c>
      <c r="C17" t="s">
        <v>109</v>
      </c>
      <c r="D17" t="s">
        <v>110</v>
      </c>
      <c r="E17" t="s">
        <v>112</v>
      </c>
      <c r="F17" t="s">
        <v>113</v>
      </c>
    </row>
    <row r="18" spans="1:9" x14ac:dyDescent="0.3">
      <c r="A18" t="s">
        <v>107</v>
      </c>
      <c r="B18">
        <v>1767</v>
      </c>
      <c r="C18">
        <v>5827</v>
      </c>
      <c r="D18">
        <v>6275</v>
      </c>
      <c r="E18">
        <v>3203</v>
      </c>
      <c r="F18">
        <v>7022</v>
      </c>
    </row>
    <row r="19" spans="1:9" x14ac:dyDescent="0.3">
      <c r="A19" t="s">
        <v>104</v>
      </c>
      <c r="B19">
        <v>7385</v>
      </c>
      <c r="C19">
        <v>4147</v>
      </c>
      <c r="D19">
        <v>2783</v>
      </c>
      <c r="E19">
        <v>2790</v>
      </c>
      <c r="F19">
        <v>6536</v>
      </c>
    </row>
    <row r="20" spans="1:9" x14ac:dyDescent="0.3">
      <c r="A20" t="s">
        <v>105</v>
      </c>
      <c r="B20">
        <v>1299</v>
      </c>
      <c r="C20">
        <v>5852</v>
      </c>
      <c r="D20">
        <v>7491</v>
      </c>
      <c r="E20">
        <v>5800</v>
      </c>
      <c r="F20">
        <v>5247</v>
      </c>
    </row>
    <row r="21" spans="1:9" x14ac:dyDescent="0.3">
      <c r="A21" t="s">
        <v>106</v>
      </c>
      <c r="B21">
        <v>3287</v>
      </c>
      <c r="C21">
        <v>2614</v>
      </c>
      <c r="D21">
        <v>5566</v>
      </c>
      <c r="E21">
        <v>6986</v>
      </c>
      <c r="F21">
        <v>7560</v>
      </c>
    </row>
    <row r="22" spans="1:9" x14ac:dyDescent="0.3">
      <c r="D22" s="1"/>
      <c r="E22" s="1"/>
    </row>
    <row r="23" spans="1:9" x14ac:dyDescent="0.3">
      <c r="A23" t="s">
        <v>117</v>
      </c>
      <c r="B23">
        <f ca="1">IF(AND(B25,EXACT('For Printing'!A8,A8)),B18,IF(B25,B19,IF('For Printing'!A8="",B20,B21)))</f>
        <v>1767</v>
      </c>
      <c r="C23">
        <f ca="1">IF(AND(C25,EXACT('For Printing'!B8,B8)),C18,IF(C25,C19,IF('For Printing'!B8="",C20,C21)))</f>
        <v>5827</v>
      </c>
      <c r="D23">
        <f ca="1">IF(AND(D25,EXACT('For Printing'!C8,C8)),D18,IF(D25,D19,IF('For Printing'!C8="",D20,D21)))</f>
        <v>6275</v>
      </c>
      <c r="E23">
        <f ca="1">IF(AND(E25,EXACT('For Printing'!D8,D8)),E18,IF(E25,E19,IF('For Printing'!D8="",E20,E21)))</f>
        <v>3203</v>
      </c>
      <c r="F23">
        <f ca="1">IF(AND(F25,EXACT('For Printing'!E8,E8)),F18,IF(F25,F19,IF('For Printing'!E8="",F20,F21)))</f>
        <v>6536</v>
      </c>
    </row>
    <row r="25" spans="1:9" x14ac:dyDescent="0.3">
      <c r="A25" t="s">
        <v>116</v>
      </c>
      <c r="B25" t="b">
        <f ca="1">IF(ExcelMajorVersion&gt;=15,B28,B27)</f>
        <v>1</v>
      </c>
      <c r="C25" t="b">
        <f ca="1">IF(ExcelMajorVersion&gt;=15,C28,C27)</f>
        <v>1</v>
      </c>
      <c r="D25" t="b">
        <f ca="1">IF(ExcelMajorVersion&gt;=15,D28,D27)</f>
        <v>1</v>
      </c>
      <c r="E25" t="b">
        <f ca="1">IF(ExcelMajorVersion&gt;=15,E28,E27)</f>
        <v>1</v>
      </c>
      <c r="F25" t="b">
        <f ca="1">IF(ExcelMajorVersion&gt;=15,F28,F27)</f>
        <v>1</v>
      </c>
      <c r="H25" t="s">
        <v>119</v>
      </c>
      <c r="I25" t="str">
        <f ca="1">TRIM(CLEAN(INFO("RELEASE")))</f>
        <v>16.0</v>
      </c>
    </row>
    <row r="26" spans="1:9" x14ac:dyDescent="0.3">
      <c r="H26" t="s">
        <v>120</v>
      </c>
      <c r="I26" t="str">
        <f ca="1">LEFT(I25,FIND(".",I25)-1)</f>
        <v>16</v>
      </c>
    </row>
    <row r="27" spans="1:9" x14ac:dyDescent="0.3">
      <c r="A27" t="s">
        <v>114</v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H27" t="s">
        <v>121</v>
      </c>
      <c r="I27">
        <f ca="1">VALUE(I26)</f>
        <v>16</v>
      </c>
    </row>
    <row r="28" spans="1:9" x14ac:dyDescent="0.3">
      <c r="A28" t="s">
        <v>115</v>
      </c>
      <c r="B28" t="b">
        <f>IFERROR(_xlfn.ISFORMULA('For Printing'!A8),FALSE)</f>
        <v>1</v>
      </c>
      <c r="C28" t="b">
        <f>IFERROR(_xlfn.ISFORMULA('For Printing'!B8),FALSE)</f>
        <v>1</v>
      </c>
      <c r="D28" t="b">
        <f>IFERROR(_xlfn.ISFORMULA('For Printing'!C8),FALSE)</f>
        <v>1</v>
      </c>
      <c r="E28" t="b">
        <f>IFERROR(_xlfn.ISFORMULA('For Printing'!D8),FALSE)</f>
        <v>1</v>
      </c>
      <c r="F28" t="b">
        <f>IFERROR(_xlfn.ISFORMULA('For Printing'!E8),FALSE)</f>
        <v>1</v>
      </c>
    </row>
    <row r="30" spans="1:9" x14ac:dyDescent="0.3">
      <c r="A30" t="s">
        <v>114</v>
      </c>
      <c r="B30" t="b">
        <f ca="1">IF(OR(ISBLANK('For Printing'!A8),CELL("prefix",'For Printing'!A8)&lt;&gt;""),FALSE,IF(CELL("type",'For Printing'!A8)="l",TRUE,"MAYBE"))</f>
        <v>1</v>
      </c>
      <c r="C30" t="b">
        <f ca="1">IF(OR(ISBLANK('For Printing'!B8),CELL("prefix",'For Printing'!B8)&lt;&gt;""),FALSE,IF(CELL("type",'For Printing'!B8)="l",TRUE,"MAYBE"))</f>
        <v>1</v>
      </c>
      <c r="D30" t="b">
        <f ca="1">IF(OR(ISBLANK('For Printing'!C8),CELL("prefix",'For Printing'!C8)&lt;&gt;""),FALSE,IF(CELL("type",'For Printing'!C8)="l",TRUE,"MAYBE"))</f>
        <v>1</v>
      </c>
      <c r="E30" t="b">
        <f ca="1">IF(OR(ISBLANK('For Printing'!D8),CELL("prefix",'For Printing'!D8)&lt;&gt;""),FALSE,IF(CELL("type",'For Printing'!D8)="l",TRUE,"MAYBE"))</f>
        <v>1</v>
      </c>
      <c r="F30" t="b">
        <f ca="1">IF(OR(ISBLANK('For Printing'!E8),CELL("prefix",'For Printing'!E8)&lt;&gt;""),FALSE,IF(CELL("type",'For Printing'!E8)="l",TRUE,"MAYBE"))</f>
        <v>1</v>
      </c>
      <c r="G30" t="s">
        <v>118</v>
      </c>
    </row>
  </sheetData>
  <conditionalFormatting sqref="B18:F2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For Printing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Harshil Chawla</cp:lastModifiedBy>
  <dcterms:created xsi:type="dcterms:W3CDTF">2017-11-16T23:23:49Z</dcterms:created>
  <dcterms:modified xsi:type="dcterms:W3CDTF">2026-03-04T18:03:10Z</dcterms:modified>
</cp:coreProperties>
</file>