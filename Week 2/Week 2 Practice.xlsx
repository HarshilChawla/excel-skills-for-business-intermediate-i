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2\"/>
    </mc:Choice>
  </mc:AlternateContent>
  <xr:revisionPtr revIDLastSave="0" documentId="13_ncr:1_{C6FDCC22-BE41-49E6-B65A-FEBAAFC2F83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O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<sst xmlns="http://schemas.openxmlformats.org/spreadsheetml/2006/main" count="192" uniqueCount="161">
  <si>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</si>
  <si>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</si>
  <si>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</si>
  <si>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</si>
  <si>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</si>
  <si>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</si>
  <si>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</si>
  <si>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</si>
  <si>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</si>
  <si>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</si>
  <si>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</si>
  <si>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</si>
  <si>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</si>
  <si>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</si>
  <si>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</si>
  <si>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</si>
  <si>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</si>
  <si>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</si>
  <si>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</si>
  <si>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</si>
  <si>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</si>
  <si>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</si>
  <si>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</si>
  <si>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</si>
  <si>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</si>
  <si>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</si>
  <si>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</si>
  <si>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</si>
  <si>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</si>
  <si>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</si>
  <si>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</si>
  <si>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</si>
  <si>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</si>
  <si>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</si>
  <si>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</si>
  <si>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</si>
  <si>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</si>
  <si>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</si>
  <si>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</si>
  <si>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</si>
  <si>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</si>
  <si>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</si>
  <si>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</si>
  <si>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</si>
  <si>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</si>
  <si>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</si>
  <si>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</si>
  <si>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</si>
  <si>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</si>
  <si>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</si>
  <si>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</si>
  <si>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</si>
  <si>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</si>
  <si>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</si>
  <si>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</si>
  <si>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</si>
  <si>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</si>
  <si>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</si>
  <si>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</si>
  <si>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</si>
  <si>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</si>
  <si>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</si>
  <si>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</si>
  <si>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</si>
  <si>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</si>
  <si>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</si>
  <si>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</si>
  <si>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</si>
  <si>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</si>
  <si>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</si>
  <si>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</si>
  <si>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</si>
  <si>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</si>
  <si>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</si>
  <si>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</si>
  <si>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</si>
  <si>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</si>
  <si>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</si>
  <si>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</si>
  <si>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</si>
  <si>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</si>
  <si>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</si>
  <si>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</si>
  <si>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</si>
  <si>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</si>
  <si>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</si>
  <si>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</si>
  <si>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</si>
  <si>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</si>
  <si>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</si>
  <si>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</si>
  <si>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</si>
  <si>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</si>
  <si>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</si>
  <si>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</si>
  <si>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</si>
  <si>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</si>
  <si>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</si>
  <si>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</si>
  <si>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</si>
  <si>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</si>
  <si>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</si>
  <si>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</si>
  <si>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</si>
  <si>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</si>
  <si>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</si>
  <si>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</si>
  <si>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</si>
  <si>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</si>
  <si>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</si>
  <si>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</si>
  <si>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</si>
  <si>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</si>
  <si>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</si>
  <si>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</si>
  <si>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</si>
  <si>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</si>
  <si>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</si>
  <si>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</si>
  <si>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</si>
  <si>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</si>
  <si>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</si>
  <si>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</si>
  <si>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</si>
  <si>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</si>
  <si>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</si>
  <si>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</si>
  <si>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</si>
  <si>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</si>
  <si>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</si>
  <si>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</si>
  <si>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</si>
  <si>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</si>
  <si>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</si>
  <si>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</si>
  <si>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</si>
  <si>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</si>
  <si>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</si>
  <si>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</si>
  <si>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</si>
  <si>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</si>
  <si>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</si>
  <si>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</si>
  <si>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</si>
  <si>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</si>
  <si>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</si>
  <si>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</si>
  <si>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</si>
  <si>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</si>
  <si>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</si>
  <si>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</si>
  <si>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</si>
  <si>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</si>
  <si>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</si>
  <si>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</si>
  <si>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</si>
  <si>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</si>
  <si>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</si>
  <si>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</si>
  <si>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</si>
  <si>
    <t>Proper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</si>
</sst>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left" wrapText="1"/>
    </xf>
    <xf numFmtId="164" fontId="0" fillId="0" borderId="0" xfId="0" applyNumberFormat="1"/>
    <xf numFmtId="0" fontId="2" fillId="0" borderId="0" xfId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90" zoomScaleNormal="90" workbookViewId="0">
      <selection activeCell="D19" sqref="D19"/>
    </sheetView>
  </sheetViews>
  <sheetFormatPr defaultRowHeight="14.4" x14ac:dyDescent="0.3"/>
  <cols>
    <col min="1" max="1" width="10.21875" customWidth="1"/>
    <col min="2" max="3" width="13" customWidth="1"/>
    <col min="4" max="5" width="18.88671875" customWidth="1"/>
    <col min="6" max="6" width="30.109375" customWidth="1"/>
    <col min="7" max="7" width="14" customWidth="1"/>
    <col min="8" max="8" width="13.33203125" customWidth="1"/>
    <col min="9" max="10" width="13.6640625" customWidth="1"/>
    <col min="11" max="11" width="17.6640625" customWidth="1"/>
    <col min="12" max="12" width="16.109375" customWidth="1"/>
    <col min="13" max="13" width="10.44140625" customWidth="1"/>
    <col min="14" max="14" width="12.77734375" customWidth="1"/>
    <col min="15" max="15" width="18.44140625" customWidth="1"/>
    <col min="16" max="16" width="11.33203125" bestFit="1" customWidth="1"/>
  </cols>
  <sheetData>
    <row r="1" spans="1:15" ht="23.4" x14ac:dyDescent="0.45">
      <c r="A1" s="4" t="s">
        <v>117</v>
      </c>
      <c r="N1" s="6" t="s">
        <v>118</v>
      </c>
      <c r="O1" s="7">
        <f ca="1">NOW()</f>
        <v>46085.576540046299</v>
      </c>
    </row>
    <row r="3" spans="1:15" ht="15.6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160</v>
      </c>
      <c r="F3" s="5" t="s">
        <v>4</v>
      </c>
      <c r="G3" s="5" t="s">
        <v>5</v>
      </c>
      <c r="H3" s="5" t="s">
        <v>84</v>
      </c>
      <c r="I3" s="5" t="s">
        <v>154</v>
      </c>
      <c r="J3" s="5" t="s">
        <v>155</v>
      </c>
      <c r="K3" s="5" t="s">
        <v>6</v>
      </c>
      <c r="L3" s="5" t="s">
        <v>7</v>
      </c>
      <c r="M3" s="5" t="s">
        <v>81</v>
      </c>
      <c r="N3" s="5" t="s">
        <v>8</v>
      </c>
      <c r="O3" s="5" t="s">
        <v>138</v>
      </c>
    </row>
    <row r="4" spans="1:15" x14ac:dyDescent="0.3">
      <c r="A4" t="s">
        <v>90</v>
      </c>
      <c r="B4" t="s">
        <v>66</v>
      </c>
      <c r="C4" s="8" t="s">
        <v>65</v>
      </c>
      <c r="D4" t="str">
        <f>_xlfn.CONCAT(C4, " ", B4)</f>
        <v>Stevie Bacata</v>
      </c>
      <c r="E4" t="str">
        <f>PROPER(_xlfn.CONCAT(C4, " ", B4))</f>
        <v>Stevie Bacata</v>
      </c>
      <c r="F4" t="str">
        <f>LOWER(C4&amp;"."&amp;B4&amp;"@pushpin.com")</f>
        <v>stevie.bacata@pushpin.com</v>
      </c>
      <c r="G4" s="1">
        <v>39556</v>
      </c>
      <c r="H4" s="3">
        <f ca="1">YEARFRAC(G4, TODAY())</f>
        <v>17.877777777777776</v>
      </c>
      <c r="I4" s="1">
        <v>42552</v>
      </c>
      <c r="J4" s="1">
        <f>I4+365</f>
        <v>42917</v>
      </c>
      <c r="K4" s="2" t="s">
        <v>72</v>
      </c>
      <c r="L4" s="2" t="s">
        <v>119</v>
      </c>
      <c r="M4" s="1" t="str">
        <f>LEFT(L4, 2)</f>
        <v>02</v>
      </c>
      <c r="N4" t="str">
        <f>RIGHT(L4, 4)</f>
        <v>2635</v>
      </c>
      <c r="O4" t="str">
        <f>MID(L4, 4, FIND(" ", L4)-4)</f>
        <v>West</v>
      </c>
    </row>
    <row r="5" spans="1:15" x14ac:dyDescent="0.3">
      <c r="A5" t="s">
        <v>85</v>
      </c>
      <c r="B5" t="s">
        <v>11</v>
      </c>
      <c r="C5" s="8" t="s">
        <v>17</v>
      </c>
      <c r="D5" t="str">
        <f t="shared" ref="D5:D38" si="0">_xlfn.CONCAT(C5, " ", B5)</f>
        <v>Adam BARRY</v>
      </c>
      <c r="E5" t="str">
        <f t="shared" ref="E5:E38" si="1">PROPER(_xlfn.CONCAT(C5, " ", B5))</f>
        <v>Adam Barry</v>
      </c>
      <c r="F5" t="str">
        <f t="shared" ref="F5:F38" si="2">LOWER(C5&amp;"."&amp;B5&amp;"@pushpin.com")</f>
        <v>adam.barry@pushpin.com</v>
      </c>
      <c r="G5" s="1">
        <v>38104</v>
      </c>
      <c r="H5" s="3">
        <f t="shared" ref="H5:H38" ca="1" si="3">YEARFRAC(G5, TODAY())</f>
        <v>21.852777777777778</v>
      </c>
      <c r="I5" s="1">
        <v>42825</v>
      </c>
      <c r="J5" s="1">
        <f t="shared" ref="J5:J38" si="4">I5+365</f>
        <v>43190</v>
      </c>
      <c r="K5" s="2" t="s">
        <v>36</v>
      </c>
      <c r="L5" s="2" t="s">
        <v>120</v>
      </c>
      <c r="M5" s="1" t="str">
        <f t="shared" ref="M5:M38" si="5">LEFT(L5, 2)</f>
        <v>02</v>
      </c>
      <c r="N5" t="str">
        <f t="shared" ref="N5:N38" si="6">RIGHT(L5, 4)</f>
        <v>2018</v>
      </c>
      <c r="O5" t="str">
        <f t="shared" ref="O5:O38" si="7">MID(L5, 4, FIND(" ", L5)-4)</f>
        <v>West</v>
      </c>
    </row>
    <row r="6" spans="1:15" x14ac:dyDescent="0.3">
      <c r="A6" t="s">
        <v>103</v>
      </c>
      <c r="B6" t="s">
        <v>60</v>
      </c>
      <c r="C6" s="8" t="s">
        <v>59</v>
      </c>
      <c r="D6" t="str">
        <f t="shared" si="0"/>
        <v>Connor Betts</v>
      </c>
      <c r="E6" t="str">
        <f t="shared" si="1"/>
        <v>Connor Betts</v>
      </c>
      <c r="F6" t="str">
        <f t="shared" si="2"/>
        <v>connor.betts@pushpin.com</v>
      </c>
      <c r="G6" s="1">
        <v>41961</v>
      </c>
      <c r="H6" s="3">
        <f t="shared" ca="1" si="3"/>
        <v>11.294444444444444</v>
      </c>
      <c r="I6" s="1">
        <v>42656</v>
      </c>
      <c r="J6" s="1">
        <f t="shared" si="4"/>
        <v>43021</v>
      </c>
      <c r="K6" s="2" t="s">
        <v>72</v>
      </c>
      <c r="L6" s="2" t="s">
        <v>121</v>
      </c>
      <c r="M6" s="1" t="str">
        <f t="shared" si="5"/>
        <v>02</v>
      </c>
      <c r="N6" t="str">
        <f t="shared" si="6"/>
        <v>2347</v>
      </c>
      <c r="O6" t="str">
        <f t="shared" si="7"/>
        <v>West</v>
      </c>
    </row>
    <row r="7" spans="1:15" x14ac:dyDescent="0.3">
      <c r="A7" t="s">
        <v>108</v>
      </c>
      <c r="B7" t="s">
        <v>157</v>
      </c>
      <c r="C7" s="8" t="s">
        <v>158</v>
      </c>
      <c r="D7" t="str">
        <f t="shared" si="0"/>
        <v>carlos martinez</v>
      </c>
      <c r="E7" t="str">
        <f t="shared" si="1"/>
        <v>Carlos Martinez</v>
      </c>
      <c r="F7" t="str">
        <f t="shared" si="2"/>
        <v>carlos.martinez@pushpin.com</v>
      </c>
      <c r="G7" s="1">
        <v>42234</v>
      </c>
      <c r="H7" s="3">
        <f t="shared" ca="1" si="3"/>
        <v>10.544444444444444</v>
      </c>
      <c r="I7" s="1">
        <v>42804</v>
      </c>
      <c r="J7" s="1">
        <f t="shared" si="4"/>
        <v>43169</v>
      </c>
      <c r="K7" s="2" t="s">
        <v>23</v>
      </c>
      <c r="L7" s="2" t="s">
        <v>122</v>
      </c>
      <c r="M7" s="1" t="str">
        <f t="shared" si="5"/>
        <v>03</v>
      </c>
      <c r="N7" t="str">
        <f t="shared" si="6"/>
        <v>2764</v>
      </c>
      <c r="O7" t="str">
        <f t="shared" si="7"/>
        <v>West</v>
      </c>
    </row>
    <row r="8" spans="1:15" x14ac:dyDescent="0.3">
      <c r="A8" t="s">
        <v>112</v>
      </c>
      <c r="B8" t="s">
        <v>62</v>
      </c>
      <c r="C8" s="8" t="s">
        <v>61</v>
      </c>
      <c r="D8" t="str">
        <f t="shared" si="0"/>
        <v>Yvette Biti</v>
      </c>
      <c r="E8" t="str">
        <f t="shared" si="1"/>
        <v>Yvette Biti</v>
      </c>
      <c r="F8" t="str">
        <f t="shared" si="2"/>
        <v>yvette.biti@pushpin.com</v>
      </c>
      <c r="G8" s="1">
        <v>42389</v>
      </c>
      <c r="H8" s="3">
        <f t="shared" ca="1" si="3"/>
        <v>10.122222222222222</v>
      </c>
      <c r="I8" s="1">
        <v>42566</v>
      </c>
      <c r="J8" s="1">
        <f t="shared" si="4"/>
        <v>42931</v>
      </c>
      <c r="K8" s="2" t="s">
        <v>72</v>
      </c>
      <c r="L8" s="2" t="s">
        <v>123</v>
      </c>
      <c r="M8" s="1" t="str">
        <f t="shared" si="5"/>
        <v>02</v>
      </c>
      <c r="N8" t="str">
        <f t="shared" si="6"/>
        <v>2589</v>
      </c>
      <c r="O8" t="str">
        <f t="shared" si="7"/>
        <v>West</v>
      </c>
    </row>
    <row r="9" spans="1:15" x14ac:dyDescent="0.3">
      <c r="A9" t="s">
        <v>101</v>
      </c>
      <c r="B9" t="s">
        <v>31</v>
      </c>
      <c r="C9" s="8" t="s">
        <v>42</v>
      </c>
      <c r="D9" t="str">
        <f t="shared" si="0"/>
        <v>Jim BOLLER</v>
      </c>
      <c r="E9" t="str">
        <f t="shared" si="1"/>
        <v>Jim Boller</v>
      </c>
      <c r="F9" t="str">
        <f t="shared" si="2"/>
        <v>jim.boller@pushpin.com</v>
      </c>
      <c r="G9" s="1">
        <v>41898</v>
      </c>
      <c r="H9" s="3">
        <f t="shared" ca="1" si="3"/>
        <v>11.466666666666667</v>
      </c>
      <c r="I9" s="1">
        <v>42551</v>
      </c>
      <c r="J9" s="1">
        <f t="shared" si="4"/>
        <v>42916</v>
      </c>
      <c r="K9" s="2" t="s">
        <v>21</v>
      </c>
      <c r="L9" s="2" t="s">
        <v>139</v>
      </c>
      <c r="M9" s="1" t="str">
        <f t="shared" si="5"/>
        <v>03</v>
      </c>
      <c r="N9" t="str">
        <f t="shared" si="6"/>
        <v>2318</v>
      </c>
      <c r="O9" t="str">
        <f t="shared" si="7"/>
        <v>North</v>
      </c>
    </row>
    <row r="10" spans="1:15" x14ac:dyDescent="0.3">
      <c r="A10" t="s">
        <v>102</v>
      </c>
      <c r="B10" t="s">
        <v>64</v>
      </c>
      <c r="C10" s="8" t="s">
        <v>63</v>
      </c>
      <c r="D10" t="str">
        <f t="shared" si="0"/>
        <v>Charlie Bui</v>
      </c>
      <c r="E10" t="str">
        <f t="shared" si="1"/>
        <v>Charlie Bui</v>
      </c>
      <c r="F10" t="str">
        <f t="shared" si="2"/>
        <v>charlie.bui@pushpin.com</v>
      </c>
      <c r="G10" s="1">
        <v>41908</v>
      </c>
      <c r="H10" s="3">
        <f t="shared" ca="1" si="3"/>
        <v>11.438888888888888</v>
      </c>
      <c r="I10" s="1">
        <v>42619</v>
      </c>
      <c r="J10" s="1">
        <f t="shared" si="4"/>
        <v>42984</v>
      </c>
      <c r="K10" s="2" t="s">
        <v>72</v>
      </c>
      <c r="L10" s="2" t="s">
        <v>140</v>
      </c>
      <c r="M10" s="1" t="str">
        <f t="shared" si="5"/>
        <v>02</v>
      </c>
      <c r="N10" t="str">
        <f t="shared" si="6"/>
        <v>2694</v>
      </c>
      <c r="O10" t="str">
        <f t="shared" si="7"/>
        <v>North</v>
      </c>
    </row>
    <row r="11" spans="1:15" x14ac:dyDescent="0.3">
      <c r="A11" t="s">
        <v>88</v>
      </c>
      <c r="B11" t="s">
        <v>46</v>
      </c>
      <c r="C11" s="8" t="s">
        <v>45</v>
      </c>
      <c r="D11" t="str">
        <f t="shared" si="0"/>
        <v>Tina Carlton</v>
      </c>
      <c r="E11" t="str">
        <f t="shared" si="1"/>
        <v>Tina Carlton</v>
      </c>
      <c r="F11" t="str">
        <f t="shared" si="2"/>
        <v>tina.carlton@pushpin.com</v>
      </c>
      <c r="G11" s="1">
        <v>38803</v>
      </c>
      <c r="H11" s="3">
        <f t="shared" ca="1" si="3"/>
        <v>19.93611111111111</v>
      </c>
      <c r="I11" s="1">
        <v>42761</v>
      </c>
      <c r="J11" s="1">
        <f t="shared" si="4"/>
        <v>43126</v>
      </c>
      <c r="K11" s="2" t="s">
        <v>72</v>
      </c>
      <c r="L11" s="2" t="s">
        <v>124</v>
      </c>
      <c r="M11" s="1" t="str">
        <f t="shared" si="5"/>
        <v>02</v>
      </c>
      <c r="N11" t="str">
        <f t="shared" si="6"/>
        <v>2699</v>
      </c>
      <c r="O11" t="str">
        <f t="shared" si="7"/>
        <v>West</v>
      </c>
    </row>
    <row r="12" spans="1:15" x14ac:dyDescent="0.3">
      <c r="A12" t="s">
        <v>9</v>
      </c>
      <c r="B12" t="s">
        <v>33</v>
      </c>
      <c r="C12" s="8" t="s">
        <v>35</v>
      </c>
      <c r="D12" t="str">
        <f t="shared" si="0"/>
        <v>Joe CAROL</v>
      </c>
      <c r="E12" t="str">
        <f t="shared" si="1"/>
        <v>Joe Carol</v>
      </c>
      <c r="F12" t="str">
        <f t="shared" si="2"/>
        <v>joe.carol@pushpin.com</v>
      </c>
      <c r="G12" s="1">
        <v>36928</v>
      </c>
      <c r="H12" s="3">
        <f t="shared" ca="1" si="3"/>
        <v>25.077777777777779</v>
      </c>
      <c r="I12" s="1">
        <v>42596</v>
      </c>
      <c r="J12" s="1">
        <f t="shared" si="4"/>
        <v>42961</v>
      </c>
      <c r="K12" s="2" t="s">
        <v>34</v>
      </c>
      <c r="L12" s="2" t="s">
        <v>141</v>
      </c>
      <c r="M12" s="1" t="str">
        <f t="shared" si="5"/>
        <v>01</v>
      </c>
      <c r="N12" t="str">
        <f t="shared" si="6"/>
        <v>2321</v>
      </c>
      <c r="O12" t="str">
        <f t="shared" si="7"/>
        <v>North</v>
      </c>
    </row>
    <row r="13" spans="1:15" x14ac:dyDescent="0.3">
      <c r="A13" t="s">
        <v>100</v>
      </c>
      <c r="B13" t="s">
        <v>16</v>
      </c>
      <c r="C13" s="8" t="s">
        <v>42</v>
      </c>
      <c r="D13" t="str">
        <f t="shared" si="0"/>
        <v>Jim CHAFFEE</v>
      </c>
      <c r="E13" t="str">
        <f t="shared" si="1"/>
        <v>Jim Chaffee</v>
      </c>
      <c r="F13" t="str">
        <f t="shared" si="2"/>
        <v>jim.chaffee@pushpin.com</v>
      </c>
      <c r="G13" s="1">
        <v>41792</v>
      </c>
      <c r="H13" s="3">
        <f t="shared" ca="1" si="3"/>
        <v>11.755555555555556</v>
      </c>
      <c r="I13" s="1">
        <v>42544</v>
      </c>
      <c r="J13" s="1">
        <f t="shared" si="4"/>
        <v>42909</v>
      </c>
      <c r="K13" s="2" t="s">
        <v>18</v>
      </c>
      <c r="L13" s="2" t="s">
        <v>125</v>
      </c>
      <c r="M13" s="1" t="str">
        <f t="shared" si="5"/>
        <v>03</v>
      </c>
      <c r="N13" t="str">
        <f t="shared" si="6"/>
        <v>2432</v>
      </c>
      <c r="O13" t="str">
        <f t="shared" si="7"/>
        <v>West</v>
      </c>
    </row>
    <row r="14" spans="1:15" x14ac:dyDescent="0.3">
      <c r="A14" t="s">
        <v>94</v>
      </c>
      <c r="B14" t="s">
        <v>48</v>
      </c>
      <c r="C14" s="8" t="s">
        <v>47</v>
      </c>
      <c r="D14" t="str">
        <f t="shared" si="0"/>
        <v>Samantha Chairs</v>
      </c>
      <c r="E14" t="str">
        <f t="shared" si="1"/>
        <v>Samantha Chairs</v>
      </c>
      <c r="F14" t="str">
        <f t="shared" si="2"/>
        <v>samantha.chairs@pushpin.com</v>
      </c>
      <c r="G14" s="1">
        <v>40595</v>
      </c>
      <c r="H14" s="3">
        <f t="shared" ca="1" si="3"/>
        <v>15.036111111111111</v>
      </c>
      <c r="I14" s="1">
        <v>42629</v>
      </c>
      <c r="J14" s="1">
        <f t="shared" si="4"/>
        <v>42994</v>
      </c>
      <c r="K14" s="2" t="s">
        <v>72</v>
      </c>
      <c r="L14" s="2" t="s">
        <v>126</v>
      </c>
      <c r="M14" s="1" t="str">
        <f t="shared" si="5"/>
        <v>02</v>
      </c>
      <c r="N14" t="str">
        <f t="shared" si="6"/>
        <v>2962</v>
      </c>
      <c r="O14" t="str">
        <f t="shared" si="7"/>
        <v>West</v>
      </c>
    </row>
    <row r="15" spans="1:15" x14ac:dyDescent="0.3">
      <c r="A15" t="s">
        <v>96</v>
      </c>
      <c r="B15" t="s">
        <v>83</v>
      </c>
      <c r="C15" s="8" t="s">
        <v>82</v>
      </c>
      <c r="D15" t="str">
        <f t="shared" si="0"/>
        <v>Uma CHAUDRI</v>
      </c>
      <c r="E15" t="str">
        <f t="shared" si="1"/>
        <v>Uma Chaudri</v>
      </c>
      <c r="F15" t="str">
        <f t="shared" si="2"/>
        <v>uma.chaudri@pushpin.com</v>
      </c>
      <c r="G15" s="1">
        <v>40994</v>
      </c>
      <c r="H15" s="3">
        <f t="shared" ca="1" si="3"/>
        <v>13.938888888888888</v>
      </c>
      <c r="I15" s="1">
        <v>42848</v>
      </c>
      <c r="J15" s="1">
        <f t="shared" si="4"/>
        <v>43213</v>
      </c>
      <c r="K15" s="2" t="s">
        <v>23</v>
      </c>
      <c r="L15" s="2" t="s">
        <v>142</v>
      </c>
      <c r="M15" s="1" t="str">
        <f t="shared" si="5"/>
        <v>03</v>
      </c>
      <c r="N15" t="str">
        <f t="shared" si="6"/>
        <v>2134</v>
      </c>
      <c r="O15" t="str">
        <f t="shared" si="7"/>
        <v>North</v>
      </c>
    </row>
    <row r="16" spans="1:15" x14ac:dyDescent="0.3">
      <c r="A16" t="s">
        <v>93</v>
      </c>
      <c r="B16" t="s">
        <v>43</v>
      </c>
      <c r="C16" s="8" t="s">
        <v>22</v>
      </c>
      <c r="D16" t="str">
        <f t="shared" si="0"/>
        <v>Elizabeth CHU</v>
      </c>
      <c r="E16" t="str">
        <f t="shared" si="1"/>
        <v>Elizabeth Chu</v>
      </c>
      <c r="F16" t="str">
        <f t="shared" si="2"/>
        <v>elizabeth.chu@pushpin.com</v>
      </c>
      <c r="G16" s="1">
        <v>40225</v>
      </c>
      <c r="H16" s="3">
        <f t="shared" ca="1" si="3"/>
        <v>16.05</v>
      </c>
      <c r="I16" s="1">
        <v>42860</v>
      </c>
      <c r="J16" s="1">
        <f t="shared" si="4"/>
        <v>43225</v>
      </c>
      <c r="K16" s="2" t="s">
        <v>80</v>
      </c>
      <c r="L16" s="2" t="s">
        <v>127</v>
      </c>
      <c r="M16" s="1" t="str">
        <f t="shared" si="5"/>
        <v>01</v>
      </c>
      <c r="N16" t="str">
        <f t="shared" si="6"/>
        <v>2425</v>
      </c>
      <c r="O16" t="str">
        <f t="shared" si="7"/>
        <v>West</v>
      </c>
    </row>
    <row r="17" spans="1:15" x14ac:dyDescent="0.3">
      <c r="A17" t="s">
        <v>12</v>
      </c>
      <c r="B17" t="s">
        <v>26</v>
      </c>
      <c r="C17" s="8" t="s">
        <v>73</v>
      </c>
      <c r="D17" t="str">
        <f t="shared" si="0"/>
        <v>Eric CHUNG</v>
      </c>
      <c r="E17" t="str">
        <f t="shared" si="1"/>
        <v>Eric Chung</v>
      </c>
      <c r="F17" t="str">
        <f t="shared" si="2"/>
        <v>eric.chung@pushpin.com</v>
      </c>
      <c r="G17" s="1">
        <v>36955</v>
      </c>
      <c r="H17" s="3">
        <f t="shared" ca="1" si="3"/>
        <v>24.997222222222224</v>
      </c>
      <c r="I17" s="1">
        <v>42540</v>
      </c>
      <c r="J17" s="1">
        <f t="shared" si="4"/>
        <v>42905</v>
      </c>
      <c r="K17" s="2" t="s">
        <v>80</v>
      </c>
      <c r="L17" s="2" t="s">
        <v>128</v>
      </c>
      <c r="M17" s="1" t="str">
        <f t="shared" si="5"/>
        <v>03</v>
      </c>
      <c r="N17" t="str">
        <f t="shared" si="6"/>
        <v>2796</v>
      </c>
      <c r="O17" t="str">
        <f t="shared" si="7"/>
        <v>West</v>
      </c>
    </row>
    <row r="18" spans="1:15" x14ac:dyDescent="0.3">
      <c r="A18" t="s">
        <v>116</v>
      </c>
      <c r="B18" t="s">
        <v>30</v>
      </c>
      <c r="C18" s="8" t="s">
        <v>79</v>
      </c>
      <c r="D18" t="str">
        <f t="shared" si="0"/>
        <v>elizabeth CLARK</v>
      </c>
      <c r="E18" t="str">
        <f t="shared" si="1"/>
        <v>Elizabeth Clark</v>
      </c>
      <c r="F18" t="str">
        <f t="shared" si="2"/>
        <v>elizabeth.clark@pushpin.com</v>
      </c>
      <c r="G18" s="1">
        <v>42912</v>
      </c>
      <c r="H18" s="3">
        <f t="shared" ca="1" si="3"/>
        <v>8.6888888888888882</v>
      </c>
      <c r="I18" s="1">
        <v>42828</v>
      </c>
      <c r="J18" s="1">
        <f t="shared" si="4"/>
        <v>43193</v>
      </c>
      <c r="K18" s="2" t="s">
        <v>36</v>
      </c>
      <c r="L18" s="2" t="s">
        <v>130</v>
      </c>
      <c r="M18" s="1" t="str">
        <f t="shared" si="5"/>
        <v>02</v>
      </c>
      <c r="N18" t="str">
        <f t="shared" si="6"/>
        <v>2414</v>
      </c>
      <c r="O18" t="str">
        <f t="shared" si="7"/>
        <v>West</v>
      </c>
    </row>
    <row r="19" spans="1:15" x14ac:dyDescent="0.3">
      <c r="A19" t="s">
        <v>104</v>
      </c>
      <c r="B19" t="s">
        <v>30</v>
      </c>
      <c r="C19" s="8" t="s">
        <v>76</v>
      </c>
      <c r="D19" t="str">
        <f t="shared" si="0"/>
        <v>ANNA CLARK</v>
      </c>
      <c r="E19" t="str">
        <f t="shared" si="1"/>
        <v>Anna Clark</v>
      </c>
      <c r="F19" t="str">
        <f t="shared" si="2"/>
        <v>anna.clark@pushpin.com</v>
      </c>
      <c r="G19" s="1">
        <v>41995</v>
      </c>
      <c r="H19" s="3">
        <f t="shared" ca="1" si="3"/>
        <v>11.2</v>
      </c>
      <c r="I19" s="1">
        <v>42731</v>
      </c>
      <c r="J19" s="1">
        <f t="shared" si="4"/>
        <v>43096</v>
      </c>
      <c r="K19" s="2" t="s">
        <v>21</v>
      </c>
      <c r="L19" s="2" t="s">
        <v>129</v>
      </c>
      <c r="M19" s="1" t="str">
        <f t="shared" si="5"/>
        <v>03</v>
      </c>
      <c r="N19" t="str">
        <f t="shared" si="6"/>
        <v>2601</v>
      </c>
      <c r="O19" t="str">
        <f t="shared" si="7"/>
        <v>West</v>
      </c>
    </row>
    <row r="20" spans="1:15" x14ac:dyDescent="0.3">
      <c r="A20" t="s">
        <v>99</v>
      </c>
      <c r="B20" t="s">
        <v>13</v>
      </c>
      <c r="C20" s="8" t="s">
        <v>29</v>
      </c>
      <c r="D20" t="str">
        <f t="shared" si="0"/>
        <v>Sabrina COLE</v>
      </c>
      <c r="E20" t="str">
        <f t="shared" si="1"/>
        <v>Sabrina Cole</v>
      </c>
      <c r="F20" t="str">
        <f t="shared" si="2"/>
        <v>sabrina.cole@pushpin.com</v>
      </c>
      <c r="G20" s="1">
        <v>41407</v>
      </c>
      <c r="H20" s="3">
        <f t="shared" ca="1" si="3"/>
        <v>12.808333333333334</v>
      </c>
      <c r="I20" s="1">
        <v>42720</v>
      </c>
      <c r="J20" s="1">
        <f t="shared" si="4"/>
        <v>43085</v>
      </c>
      <c r="K20" s="2" t="s">
        <v>36</v>
      </c>
      <c r="L20" s="2" t="s">
        <v>131</v>
      </c>
      <c r="M20" s="1" t="str">
        <f t="shared" si="5"/>
        <v>02</v>
      </c>
      <c r="N20" t="str">
        <f t="shared" si="6"/>
        <v>2537</v>
      </c>
      <c r="O20" t="str">
        <f t="shared" si="7"/>
        <v>West</v>
      </c>
    </row>
    <row r="21" spans="1:15" x14ac:dyDescent="0.3">
      <c r="A21" t="s">
        <v>91</v>
      </c>
      <c r="B21" t="s">
        <v>37</v>
      </c>
      <c r="C21" s="8" t="s">
        <v>25</v>
      </c>
      <c r="D21" t="str">
        <f t="shared" si="0"/>
        <v>Janet COMUNTZIS</v>
      </c>
      <c r="E21" t="str">
        <f t="shared" si="1"/>
        <v>Janet Comuntzis</v>
      </c>
      <c r="F21" t="str">
        <f t="shared" si="2"/>
        <v>janet.comuntzis@pushpin.com</v>
      </c>
      <c r="G21" s="1">
        <v>39692</v>
      </c>
      <c r="H21" s="3">
        <f t="shared" ca="1" si="3"/>
        <v>17.508333333333333</v>
      </c>
      <c r="I21" s="1">
        <v>42598</v>
      </c>
      <c r="J21" s="1">
        <f t="shared" si="4"/>
        <v>42963</v>
      </c>
      <c r="K21" s="2" t="s">
        <v>36</v>
      </c>
      <c r="L21" s="2" t="s">
        <v>132</v>
      </c>
      <c r="M21" s="1" t="str">
        <f t="shared" si="5"/>
        <v>02</v>
      </c>
      <c r="N21" t="str">
        <f t="shared" si="6"/>
        <v>2286</v>
      </c>
      <c r="O21" t="str">
        <f t="shared" si="7"/>
        <v>West</v>
      </c>
    </row>
    <row r="22" spans="1:15" x14ac:dyDescent="0.3">
      <c r="A22" t="s">
        <v>98</v>
      </c>
      <c r="B22" t="s">
        <v>10</v>
      </c>
      <c r="C22" s="8" t="s">
        <v>27</v>
      </c>
      <c r="D22" t="str">
        <f t="shared" si="0"/>
        <v>Bob DECKER</v>
      </c>
      <c r="E22" t="str">
        <f t="shared" si="1"/>
        <v>Bob Decker</v>
      </c>
      <c r="F22" t="str">
        <f t="shared" si="2"/>
        <v>bob.decker@pushpin.com</v>
      </c>
      <c r="G22" s="1">
        <v>41214</v>
      </c>
      <c r="H22" s="3">
        <f t="shared" ca="1" si="3"/>
        <v>13.341666666666667</v>
      </c>
      <c r="I22" s="1">
        <v>42566</v>
      </c>
      <c r="J22" s="1">
        <f t="shared" si="4"/>
        <v>42931</v>
      </c>
      <c r="K22" s="2" t="s">
        <v>80</v>
      </c>
      <c r="L22" s="2" t="s">
        <v>143</v>
      </c>
      <c r="M22" s="1" t="str">
        <f t="shared" si="5"/>
        <v>01</v>
      </c>
      <c r="N22" t="str">
        <f t="shared" si="6"/>
        <v>2086</v>
      </c>
      <c r="O22" t="str">
        <f t="shared" si="7"/>
        <v>North</v>
      </c>
    </row>
    <row r="23" spans="1:15" x14ac:dyDescent="0.3">
      <c r="A23" t="s">
        <v>97</v>
      </c>
      <c r="B23" t="s">
        <v>44</v>
      </c>
      <c r="C23" s="8" t="s">
        <v>45</v>
      </c>
      <c r="D23" t="str">
        <f t="shared" si="0"/>
        <v>Tina DESIATO</v>
      </c>
      <c r="E23" t="str">
        <f t="shared" si="1"/>
        <v>Tina Desiato</v>
      </c>
      <c r="F23" t="str">
        <f t="shared" si="2"/>
        <v>tina.desiato@pushpin.com</v>
      </c>
      <c r="G23" s="1">
        <v>41176</v>
      </c>
      <c r="H23" s="3">
        <f t="shared" ca="1" si="3"/>
        <v>13.444444444444445</v>
      </c>
      <c r="I23" s="1">
        <v>42835</v>
      </c>
      <c r="J23" s="1">
        <f t="shared" si="4"/>
        <v>43200</v>
      </c>
      <c r="K23" t="s">
        <v>80</v>
      </c>
      <c r="L23" s="2" t="s">
        <v>144</v>
      </c>
      <c r="M23" s="1" t="str">
        <f t="shared" si="5"/>
        <v>01</v>
      </c>
      <c r="N23" t="str">
        <f t="shared" si="6"/>
        <v>2358</v>
      </c>
      <c r="O23" t="str">
        <f t="shared" si="7"/>
        <v>North</v>
      </c>
    </row>
    <row r="24" spans="1:15" x14ac:dyDescent="0.3">
      <c r="A24" t="s">
        <v>107</v>
      </c>
      <c r="B24" t="s">
        <v>19</v>
      </c>
      <c r="C24" s="8" t="s">
        <v>40</v>
      </c>
      <c r="D24" t="str">
        <f t="shared" si="0"/>
        <v>Alexandra DONNELL</v>
      </c>
      <c r="E24" t="str">
        <f t="shared" si="1"/>
        <v>Alexandra Donnell</v>
      </c>
      <c r="F24" t="str">
        <f t="shared" si="2"/>
        <v>alexandra.donnell@pushpin.com</v>
      </c>
      <c r="G24" s="1">
        <v>42233</v>
      </c>
      <c r="H24" s="3">
        <f t="shared" ca="1" si="3"/>
        <v>10.547222222222222</v>
      </c>
      <c r="I24" s="1">
        <v>42658</v>
      </c>
      <c r="J24" s="1">
        <f t="shared" si="4"/>
        <v>43023</v>
      </c>
      <c r="K24" s="2" t="s">
        <v>21</v>
      </c>
      <c r="L24" s="2" t="s">
        <v>133</v>
      </c>
      <c r="M24" s="1" t="str">
        <f t="shared" si="5"/>
        <v>03</v>
      </c>
      <c r="N24" t="str">
        <f t="shared" si="6"/>
        <v>2082</v>
      </c>
      <c r="O24" t="str">
        <f t="shared" si="7"/>
        <v>West</v>
      </c>
    </row>
    <row r="25" spans="1:15" x14ac:dyDescent="0.3">
      <c r="A25" t="s">
        <v>111</v>
      </c>
      <c r="B25" t="s">
        <v>24</v>
      </c>
      <c r="C25" s="8" t="s">
        <v>38</v>
      </c>
      <c r="D25" t="str">
        <f t="shared" si="0"/>
        <v>Mark ELLIS</v>
      </c>
      <c r="E25" t="str">
        <f t="shared" si="1"/>
        <v>Mark Ellis</v>
      </c>
      <c r="F25" t="str">
        <f t="shared" si="2"/>
        <v>mark.ellis@pushpin.com</v>
      </c>
      <c r="G25" s="1">
        <v>42376</v>
      </c>
      <c r="H25" s="3">
        <f t="shared" ca="1" si="3"/>
        <v>10.158333333333333</v>
      </c>
      <c r="I25" s="1">
        <v>42614</v>
      </c>
      <c r="J25" s="1">
        <f t="shared" si="4"/>
        <v>42979</v>
      </c>
      <c r="K25" s="2" t="s">
        <v>80</v>
      </c>
      <c r="L25" s="2" t="s">
        <v>134</v>
      </c>
      <c r="M25" s="1" t="str">
        <f t="shared" si="5"/>
        <v>03</v>
      </c>
      <c r="N25" t="str">
        <f t="shared" si="6"/>
        <v>2482</v>
      </c>
      <c r="O25" t="str">
        <f t="shared" si="7"/>
        <v>West</v>
      </c>
    </row>
    <row r="26" spans="1:15" x14ac:dyDescent="0.3">
      <c r="A26" t="s">
        <v>89</v>
      </c>
      <c r="B26" t="s">
        <v>68</v>
      </c>
      <c r="C26" s="8" t="s">
        <v>67</v>
      </c>
      <c r="D26" t="str">
        <f t="shared" si="0"/>
        <v>Nicholas Fernandes</v>
      </c>
      <c r="E26" t="str">
        <f t="shared" si="1"/>
        <v>Nicholas Fernandes</v>
      </c>
      <c r="F26" t="str">
        <f t="shared" si="2"/>
        <v>nicholas.fernandes@pushpin.com</v>
      </c>
      <c r="G26" s="1">
        <v>39028</v>
      </c>
      <c r="H26" s="3">
        <f t="shared" ca="1" si="3"/>
        <v>19.324999999999999</v>
      </c>
      <c r="I26" s="1">
        <v>42817</v>
      </c>
      <c r="J26" s="1">
        <f t="shared" si="4"/>
        <v>43182</v>
      </c>
      <c r="K26" s="2" t="s">
        <v>21</v>
      </c>
      <c r="L26" s="2" t="s">
        <v>145</v>
      </c>
      <c r="M26" s="1" t="str">
        <f t="shared" si="5"/>
        <v>02</v>
      </c>
      <c r="N26" t="str">
        <f t="shared" si="6"/>
        <v>2372</v>
      </c>
      <c r="O26" t="str">
        <f t="shared" si="7"/>
        <v>North</v>
      </c>
    </row>
    <row r="27" spans="1:15" x14ac:dyDescent="0.3">
      <c r="A27" t="s">
        <v>86</v>
      </c>
      <c r="B27" t="s">
        <v>41</v>
      </c>
      <c r="C27" s="8" t="s">
        <v>32</v>
      </c>
      <c r="D27" t="str">
        <f t="shared" si="0"/>
        <v>Mary FERRIS</v>
      </c>
      <c r="E27" t="str">
        <f t="shared" si="1"/>
        <v>Mary Ferris</v>
      </c>
      <c r="F27" t="str">
        <f t="shared" si="2"/>
        <v>mary.ferris@pushpin.com</v>
      </c>
      <c r="G27" s="1">
        <v>38553</v>
      </c>
      <c r="H27" s="3">
        <f t="shared" ca="1" si="3"/>
        <v>20.622222222222224</v>
      </c>
      <c r="I27" s="1">
        <v>42845</v>
      </c>
      <c r="J27" s="1">
        <f t="shared" si="4"/>
        <v>43210</v>
      </c>
      <c r="K27" s="2" t="s">
        <v>72</v>
      </c>
      <c r="L27" s="2" t="s">
        <v>146</v>
      </c>
      <c r="M27" s="1" t="str">
        <f t="shared" si="5"/>
        <v>03</v>
      </c>
      <c r="N27" t="str">
        <f t="shared" si="6"/>
        <v>2392</v>
      </c>
      <c r="O27" t="str">
        <f t="shared" si="7"/>
        <v>North</v>
      </c>
    </row>
    <row r="28" spans="1:15" x14ac:dyDescent="0.3">
      <c r="A28" t="s">
        <v>87</v>
      </c>
      <c r="B28" t="s">
        <v>39</v>
      </c>
      <c r="C28" s="8" t="s">
        <v>20</v>
      </c>
      <c r="D28" t="str">
        <f t="shared" si="0"/>
        <v>Susan FILOSA</v>
      </c>
      <c r="E28" t="str">
        <f t="shared" si="1"/>
        <v>Susan Filosa</v>
      </c>
      <c r="F28" t="str">
        <f t="shared" si="2"/>
        <v>susan.filosa@pushpin.com</v>
      </c>
      <c r="G28" s="1">
        <v>38749</v>
      </c>
      <c r="H28" s="3">
        <f t="shared" ca="1" si="3"/>
        <v>20.091666666666665</v>
      </c>
      <c r="I28" s="1">
        <v>42776</v>
      </c>
      <c r="J28" s="1">
        <f t="shared" si="4"/>
        <v>43141</v>
      </c>
      <c r="K28" s="2" t="s">
        <v>36</v>
      </c>
      <c r="L28" s="2" t="s">
        <v>135</v>
      </c>
      <c r="M28" s="1" t="str">
        <f t="shared" si="5"/>
        <v>02</v>
      </c>
      <c r="N28" t="str">
        <f t="shared" si="6"/>
        <v>2279</v>
      </c>
      <c r="O28" t="str">
        <f t="shared" si="7"/>
        <v>West</v>
      </c>
    </row>
    <row r="29" spans="1:15" x14ac:dyDescent="0.3">
      <c r="A29" t="s">
        <v>15</v>
      </c>
      <c r="B29" t="s">
        <v>28</v>
      </c>
      <c r="C29" s="8" t="s">
        <v>14</v>
      </c>
      <c r="D29" t="str">
        <f t="shared" si="0"/>
        <v>Daniel FLANDERS</v>
      </c>
      <c r="E29" t="str">
        <f t="shared" si="1"/>
        <v>Daniel Flanders</v>
      </c>
      <c r="F29" t="str">
        <f t="shared" si="2"/>
        <v>daniel.flanders@pushpin.com</v>
      </c>
      <c r="G29" s="1">
        <v>37515</v>
      </c>
      <c r="H29" s="3">
        <f t="shared" ca="1" si="3"/>
        <v>23.466666666666665</v>
      </c>
      <c r="I29" s="1">
        <v>42586</v>
      </c>
      <c r="J29" s="1">
        <f t="shared" si="4"/>
        <v>42951</v>
      </c>
      <c r="K29" s="2" t="s">
        <v>72</v>
      </c>
      <c r="L29" s="2" t="s">
        <v>147</v>
      </c>
      <c r="M29" s="1" t="str">
        <f t="shared" si="5"/>
        <v>02</v>
      </c>
      <c r="N29" t="str">
        <f t="shared" si="6"/>
        <v>2639</v>
      </c>
      <c r="O29" t="str">
        <f t="shared" si="7"/>
        <v>North</v>
      </c>
    </row>
    <row r="30" spans="1:15" x14ac:dyDescent="0.3">
      <c r="A30" t="s">
        <v>106</v>
      </c>
      <c r="B30" t="s">
        <v>54</v>
      </c>
      <c r="C30" s="8" t="s">
        <v>53</v>
      </c>
      <c r="D30" t="str">
        <f t="shared" si="0"/>
        <v>Leighton Forrest</v>
      </c>
      <c r="E30" t="str">
        <f t="shared" si="1"/>
        <v>Leighton Forrest</v>
      </c>
      <c r="F30" t="str">
        <f t="shared" si="2"/>
        <v>leighton.forrest@pushpin.com</v>
      </c>
      <c r="G30" s="1">
        <v>42125</v>
      </c>
      <c r="H30" s="3">
        <f t="shared" ca="1" si="3"/>
        <v>10.841666666666667</v>
      </c>
      <c r="I30" s="1">
        <v>42710</v>
      </c>
      <c r="J30" s="1">
        <f t="shared" si="4"/>
        <v>43075</v>
      </c>
      <c r="K30" s="2" t="s">
        <v>72</v>
      </c>
      <c r="L30" s="2" t="s">
        <v>148</v>
      </c>
      <c r="M30" s="1" t="str">
        <f t="shared" si="5"/>
        <v>02</v>
      </c>
      <c r="N30" t="str">
        <f t="shared" si="6"/>
        <v>2284</v>
      </c>
      <c r="O30" t="str">
        <f t="shared" si="7"/>
        <v>North</v>
      </c>
    </row>
    <row r="31" spans="1:15" x14ac:dyDescent="0.3">
      <c r="A31" t="s">
        <v>114</v>
      </c>
      <c r="B31" t="s">
        <v>52</v>
      </c>
      <c r="C31" s="8" t="s">
        <v>51</v>
      </c>
      <c r="D31" t="str">
        <f t="shared" si="0"/>
        <v>Phoebe Gour</v>
      </c>
      <c r="E31" t="str">
        <f t="shared" si="1"/>
        <v>Phoebe Gour</v>
      </c>
      <c r="F31" t="str">
        <f t="shared" si="2"/>
        <v>phoebe.gour@pushpin.com</v>
      </c>
      <c r="G31" s="1">
        <v>42726</v>
      </c>
      <c r="H31" s="3">
        <f t="shared" ca="1" si="3"/>
        <v>9.1999999999999993</v>
      </c>
      <c r="I31" s="1">
        <v>42539</v>
      </c>
      <c r="J31" s="1">
        <f t="shared" si="4"/>
        <v>42904</v>
      </c>
      <c r="K31" s="2" t="s">
        <v>72</v>
      </c>
      <c r="L31" s="2" t="s">
        <v>149</v>
      </c>
      <c r="M31" s="1" t="str">
        <f t="shared" si="5"/>
        <v>02</v>
      </c>
      <c r="N31" t="str">
        <f t="shared" si="6"/>
        <v>2910</v>
      </c>
      <c r="O31" t="str">
        <f t="shared" si="7"/>
        <v>North</v>
      </c>
    </row>
    <row r="32" spans="1:15" x14ac:dyDescent="0.3">
      <c r="A32" t="s">
        <v>92</v>
      </c>
      <c r="B32" t="s">
        <v>50</v>
      </c>
      <c r="C32" s="8" t="s">
        <v>49</v>
      </c>
      <c r="D32" t="str">
        <f t="shared" si="0"/>
        <v>Mihael Khan</v>
      </c>
      <c r="E32" t="str">
        <f t="shared" si="1"/>
        <v>Mihael Khan</v>
      </c>
      <c r="F32" t="str">
        <f t="shared" si="2"/>
        <v>mihael.khan@pushpin.com</v>
      </c>
      <c r="G32" s="1">
        <v>40162</v>
      </c>
      <c r="H32" s="3">
        <f t="shared" ca="1" si="3"/>
        <v>16.219444444444445</v>
      </c>
      <c r="I32" s="1">
        <v>42563</v>
      </c>
      <c r="J32" s="1">
        <f t="shared" si="4"/>
        <v>42928</v>
      </c>
      <c r="K32" s="2" t="s">
        <v>72</v>
      </c>
      <c r="L32" s="2" t="s">
        <v>150</v>
      </c>
      <c r="M32" s="1" t="str">
        <f t="shared" si="5"/>
        <v>02</v>
      </c>
      <c r="N32" t="str">
        <f t="shared" si="6"/>
        <v>2294</v>
      </c>
      <c r="O32" t="str">
        <f t="shared" si="7"/>
        <v>North</v>
      </c>
    </row>
    <row r="33" spans="1:15" x14ac:dyDescent="0.3">
      <c r="A33" t="s">
        <v>113</v>
      </c>
      <c r="B33" t="s">
        <v>78</v>
      </c>
      <c r="C33" s="8" t="s">
        <v>77</v>
      </c>
      <c r="D33" t="str">
        <f t="shared" si="0"/>
        <v>Sean SANDERS</v>
      </c>
      <c r="E33" t="str">
        <f t="shared" si="1"/>
        <v>Sean Sanders</v>
      </c>
      <c r="F33" t="str">
        <f t="shared" si="2"/>
        <v>sean.sanders@pushpin.com</v>
      </c>
      <c r="G33" s="1">
        <v>42892</v>
      </c>
      <c r="H33" s="3">
        <f t="shared" ca="1" si="3"/>
        <v>8.7444444444444436</v>
      </c>
      <c r="I33" s="1">
        <v>42731</v>
      </c>
      <c r="J33" s="1">
        <f t="shared" si="4"/>
        <v>43096</v>
      </c>
      <c r="K33" s="2" t="s">
        <v>23</v>
      </c>
      <c r="L33" s="2" t="s">
        <v>136</v>
      </c>
      <c r="M33" s="1" t="str">
        <f t="shared" si="5"/>
        <v>03</v>
      </c>
      <c r="N33" t="str">
        <f t="shared" si="6"/>
        <v>2765</v>
      </c>
      <c r="O33" t="str">
        <f t="shared" si="7"/>
        <v>West</v>
      </c>
    </row>
    <row r="34" spans="1:15" x14ac:dyDescent="0.3">
      <c r="A34" t="s">
        <v>110</v>
      </c>
      <c r="B34" t="s">
        <v>70</v>
      </c>
      <c r="C34" s="8" t="s">
        <v>69</v>
      </c>
      <c r="D34" t="str">
        <f t="shared" si="0"/>
        <v>Radhya Staples</v>
      </c>
      <c r="E34" t="str">
        <f t="shared" si="1"/>
        <v>Radhya Staples</v>
      </c>
      <c r="F34" t="str">
        <f t="shared" si="2"/>
        <v>radhya.staples@pushpin.com</v>
      </c>
      <c r="G34" s="1">
        <v>42325</v>
      </c>
      <c r="H34" s="3">
        <f t="shared" ca="1" si="3"/>
        <v>10.297222222222222</v>
      </c>
      <c r="I34" s="1">
        <v>42590</v>
      </c>
      <c r="J34" s="1">
        <f t="shared" si="4"/>
        <v>42955</v>
      </c>
      <c r="K34" s="2" t="s">
        <v>72</v>
      </c>
      <c r="L34" s="2" t="s">
        <v>151</v>
      </c>
      <c r="M34" s="1" t="str">
        <f t="shared" si="5"/>
        <v>02</v>
      </c>
      <c r="N34" t="str">
        <f t="shared" si="6"/>
        <v>2260</v>
      </c>
      <c r="O34" t="str">
        <f t="shared" si="7"/>
        <v>North</v>
      </c>
    </row>
    <row r="35" spans="1:15" x14ac:dyDescent="0.3">
      <c r="A35" t="s">
        <v>95</v>
      </c>
      <c r="B35" t="s">
        <v>56</v>
      </c>
      <c r="C35" s="8" t="s">
        <v>55</v>
      </c>
      <c r="D35" t="str">
        <f t="shared" si="0"/>
        <v>Natasha Song</v>
      </c>
      <c r="E35" t="str">
        <f t="shared" si="1"/>
        <v>Natasha Song</v>
      </c>
      <c r="F35" t="str">
        <f t="shared" si="2"/>
        <v>natasha.song@pushpin.com</v>
      </c>
      <c r="G35" s="1">
        <v>40714</v>
      </c>
      <c r="H35" s="3">
        <f t="shared" ca="1" si="3"/>
        <v>14.705555555555556</v>
      </c>
      <c r="I35" s="1">
        <v>42507</v>
      </c>
      <c r="J35" s="1">
        <f t="shared" si="4"/>
        <v>42872</v>
      </c>
      <c r="K35" s="2" t="s">
        <v>72</v>
      </c>
      <c r="L35" s="2" t="s">
        <v>156</v>
      </c>
      <c r="M35" s="1" t="str">
        <f t="shared" si="5"/>
        <v>02</v>
      </c>
      <c r="N35" t="str">
        <f t="shared" si="6"/>
        <v>2578</v>
      </c>
      <c r="O35" t="str">
        <f t="shared" si="7"/>
        <v>West</v>
      </c>
    </row>
    <row r="36" spans="1:15" x14ac:dyDescent="0.3">
      <c r="A36" t="s">
        <v>109</v>
      </c>
      <c r="B36" t="s">
        <v>71</v>
      </c>
      <c r="C36" s="8" t="s">
        <v>159</v>
      </c>
      <c r="D36" t="str">
        <f t="shared" si="0"/>
        <v>Preston Senome</v>
      </c>
      <c r="E36" t="str">
        <f t="shared" si="1"/>
        <v>Preston Senome</v>
      </c>
      <c r="F36" t="str">
        <f t="shared" si="2"/>
        <v>preston.senome@pushpin.com</v>
      </c>
      <c r="G36" s="1">
        <v>42326</v>
      </c>
      <c r="H36" s="3">
        <f t="shared" ca="1" si="3"/>
        <v>10.294444444444444</v>
      </c>
      <c r="I36" s="1">
        <v>42801</v>
      </c>
      <c r="J36" s="1">
        <f t="shared" si="4"/>
        <v>43166</v>
      </c>
      <c r="K36" s="2" t="s">
        <v>72</v>
      </c>
      <c r="L36" s="2" t="s">
        <v>152</v>
      </c>
      <c r="M36" s="1" t="str">
        <f t="shared" si="5"/>
        <v>02</v>
      </c>
      <c r="N36" t="str">
        <f t="shared" si="6"/>
        <v>2654</v>
      </c>
      <c r="O36" t="str">
        <f t="shared" si="7"/>
        <v>North</v>
      </c>
    </row>
    <row r="37" spans="1:15" x14ac:dyDescent="0.3">
      <c r="A37" t="s">
        <v>115</v>
      </c>
      <c r="B37" t="s">
        <v>75</v>
      </c>
      <c r="C37" s="8" t="s">
        <v>74</v>
      </c>
      <c r="D37" t="str">
        <f t="shared" si="0"/>
        <v>Mei WANG</v>
      </c>
      <c r="E37" t="str">
        <f t="shared" si="1"/>
        <v>Mei Wang</v>
      </c>
      <c r="F37" t="str">
        <f t="shared" si="2"/>
        <v>mei.wang@pushpin.com</v>
      </c>
      <c r="G37" s="1">
        <v>40189</v>
      </c>
      <c r="H37" s="3">
        <f t="shared" ca="1" si="3"/>
        <v>16.147222222222222</v>
      </c>
      <c r="I37" s="1">
        <v>42839</v>
      </c>
      <c r="J37" s="1">
        <f t="shared" si="4"/>
        <v>43204</v>
      </c>
      <c r="K37" s="2" t="s">
        <v>34</v>
      </c>
      <c r="L37" s="2" t="s">
        <v>137</v>
      </c>
      <c r="M37" s="1" t="str">
        <f t="shared" si="5"/>
        <v>01</v>
      </c>
      <c r="N37" t="str">
        <f t="shared" si="6"/>
        <v>2783</v>
      </c>
      <c r="O37" t="str">
        <f t="shared" si="7"/>
        <v>West</v>
      </c>
    </row>
    <row r="38" spans="1:15" x14ac:dyDescent="0.3">
      <c r="A38" t="s">
        <v>105</v>
      </c>
      <c r="B38" t="s">
        <v>58</v>
      </c>
      <c r="C38" s="8" t="s">
        <v>57</v>
      </c>
      <c r="D38" t="str">
        <f t="shared" si="0"/>
        <v>Aanya Zhang</v>
      </c>
      <c r="E38" t="str">
        <f t="shared" si="1"/>
        <v>Aanya Zhang</v>
      </c>
      <c r="F38" t="str">
        <f t="shared" si="2"/>
        <v>aanya.zhang@pushpin.com</v>
      </c>
      <c r="G38" s="1">
        <v>42009</v>
      </c>
      <c r="H38" s="3">
        <f t="shared" ca="1" si="3"/>
        <v>11.16388888888889</v>
      </c>
      <c r="I38" s="1">
        <v>42652</v>
      </c>
      <c r="J38" s="1">
        <f t="shared" si="4"/>
        <v>43017</v>
      </c>
      <c r="K38" s="2" t="s">
        <v>72</v>
      </c>
      <c r="L38" s="2" t="s">
        <v>153</v>
      </c>
      <c r="M38" s="1" t="str">
        <f t="shared" si="5"/>
        <v>02</v>
      </c>
      <c r="N38" t="str">
        <f t="shared" si="6"/>
        <v>2793</v>
      </c>
      <c r="O38" t="str">
        <f t="shared" si="7"/>
        <v>North</v>
      </c>
    </row>
  </sheetData>
  <sortState xmlns:xlrd2="http://schemas.microsoft.com/office/spreadsheetml/2017/richdata2" ref="A4:N38">
    <sortCondition ref="B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2017-06-15T06:51:11Z</dcterms:created>
  <dcterms:modified xsi:type="dcterms:W3CDTF">2026-03-04T08:20:15Z</dcterms:modified>
</cp:coreProperties>
</file>